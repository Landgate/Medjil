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gsdigdat\digdata\2017Data\20172297- Boya Calibration\Boya Range Calibrations\20210616-VU\"/>
    </mc:Choice>
  </mc:AlternateContent>
  <xr:revisionPtr revIDLastSave="0" documentId="13_ncr:1_{F2BC8986-6A23-4DFE-B0FF-86830E727861}" xr6:coauthVersionLast="46" xr6:coauthVersionMax="46" xr10:uidLastSave="{00000000-0000-0000-0000-000000000000}"/>
  <bookViews>
    <workbookView xWindow="28680" yWindow="-120" windowWidth="29040" windowHeight="15840" tabRatio="907" activeTab="13" xr2:uid="{00000000-000D-0000-FFFF-FFFF00000000}"/>
  </bookViews>
  <sheets>
    <sheet name="27690" sheetId="2" r:id="rId1"/>
    <sheet name="26296" sheetId="1" r:id="rId2"/>
    <sheet name="26909" sheetId="3" r:id="rId3"/>
    <sheet name="Merge8" sheetId="4" r:id="rId4"/>
    <sheet name="Recent data" sheetId="5" r:id="rId5"/>
    <sheet name="Sheet1" sheetId="6" r:id="rId6"/>
    <sheet name="Sheet2" sheetId="7" r:id="rId7"/>
    <sheet name="Calcs" sheetId="8" r:id="rId8"/>
    <sheet name="Sheet3" sheetId="9" r:id="rId9"/>
    <sheet name="Sheet4" sheetId="10" r:id="rId10"/>
    <sheet name="Analysis" sheetId="12" r:id="rId11"/>
    <sheet name="Analysis Temp" sheetId="13" r:id="rId12"/>
    <sheet name="HeightDiff Comparisons&amp;merge" sheetId="16" r:id="rId13"/>
    <sheet name="HeightDiff Comparisons" sheetId="17" r:id="rId14"/>
    <sheet name="Sheet5" sheetId="18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16" l="1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L22" i="1" l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sharedStrings.xml><?xml version="1.0" encoding="utf-8"?>
<sst xmlns="http://schemas.openxmlformats.org/spreadsheetml/2006/main" count="1327" uniqueCount="432">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</sst>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5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</cellXfs>
  <cellStyles count="1">
    <cellStyle name="Normal" xfId="0" builtinId="0"/>
  </cellStyles>
  <dxfs count="30"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44">
        <v>27690</v>
      </c>
      <c r="B2" s="144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O41"/>
  <sheetViews>
    <sheetView topLeftCell="GK1" zoomScale="80" zoomScaleNormal="80" workbookViewId="0">
      <selection activeCell="HN40" sqref="HN40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</cols>
  <sheetData>
    <row r="1" spans="1:223" x14ac:dyDescent="0.2">
      <c r="A1" s="144">
        <v>26296</v>
      </c>
      <c r="B1" s="144"/>
    </row>
    <row r="2" spans="1:223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</row>
    <row r="3" spans="1:223" x14ac:dyDescent="0.2">
      <c r="HF3" t="s">
        <v>419</v>
      </c>
      <c r="HM3" t="s">
        <v>419</v>
      </c>
    </row>
    <row r="4" spans="1:223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</row>
    <row r="5" spans="1:223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</row>
    <row r="6" spans="1:223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</row>
    <row r="7" spans="1:223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</row>
    <row r="8" spans="1:223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3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</row>
    <row r="9" spans="1:223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3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</row>
    <row r="10" spans="1:223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3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</row>
    <row r="11" spans="1:223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4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5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6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3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</row>
    <row r="12" spans="1:223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3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</row>
    <row r="13" spans="1:223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7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68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69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0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1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2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3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3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</row>
    <row r="14" spans="1:223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7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68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69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0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1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2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3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3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</row>
    <row r="15" spans="1:223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7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68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69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0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1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2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3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3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</row>
    <row r="16" spans="1:223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7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68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69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0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1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2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3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3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</row>
    <row r="17" spans="1:223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7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68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69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0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1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2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3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3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</row>
    <row r="18" spans="1:223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7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68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69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0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1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2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3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3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</row>
    <row r="19" spans="1:223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7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68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69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0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1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2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3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3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</row>
    <row r="20" spans="1:223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4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7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68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69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0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1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2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3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3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</row>
    <row r="21" spans="1:223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</row>
    <row r="22" spans="1:223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</row>
    <row r="23" spans="1:223" ht="15.75" x14ac:dyDescent="0.25">
      <c r="A23" s="5">
        <v>7</v>
      </c>
      <c r="B23" s="5">
        <v>7.9579999999999998E-2</v>
      </c>
      <c r="C23" s="5">
        <f t="shared" ref="C23:C37" si="75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6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7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78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79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0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1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2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3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4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5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6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7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88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89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0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1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2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3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4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5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6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7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98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99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0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1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2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3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4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5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6">HK23*HL23</f>
        <v>7.740013235338071E-2</v>
      </c>
      <c r="HN23" s="5">
        <v>10</v>
      </c>
      <c r="HO23" s="3">
        <v>1.0000000000000001E-5</v>
      </c>
    </row>
    <row r="24" spans="1:223" ht="15.75" x14ac:dyDescent="0.25">
      <c r="A24" s="5">
        <v>8</v>
      </c>
      <c r="B24" s="5">
        <v>0.28456999999999999</v>
      </c>
      <c r="C24" s="5">
        <f t="shared" si="75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07">1.00000381*(1+0.00000084*($J$22-19.8))</f>
        <v>1.0000070020121616</v>
      </c>
      <c r="K24" s="21">
        <f t="shared" si="76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08">1.00000381*(1+0.00000084*($Q$22-19.8))</f>
        <v>1.0000085980182423</v>
      </c>
      <c r="R24" s="21">
        <f t="shared" si="77"/>
        <v>0.28235242765045071</v>
      </c>
      <c r="S24" s="5">
        <v>10</v>
      </c>
      <c r="T24" s="5"/>
      <c r="V24" s="5">
        <v>8</v>
      </c>
      <c r="W24" s="5"/>
      <c r="X24" s="5">
        <f t="shared" ref="X24:X37" si="109">1.00000381*(1+0.00000084*($X$22-19.8))</f>
        <v>1.0000085980182423</v>
      </c>
      <c r="Y24" s="21">
        <f t="shared" si="78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0">1.00000381*(1+0.00000084*($AE$22-19.8))</f>
        <v>1.0000062460092811</v>
      </c>
      <c r="AF24" s="21">
        <f t="shared" si="79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1">1.00000381*(1+0.00000084*($AL$22-19.8))</f>
        <v>1.0000126300336041</v>
      </c>
      <c r="AM24" s="21">
        <f t="shared" si="80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2">1.00000381*(1+0.00000084*($AS$22-19.8))</f>
        <v>1.0000023819945592</v>
      </c>
      <c r="AT24" s="21">
        <f t="shared" si="81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3">1.00000381*(1+0.00000084*($AZ$22-19.8))</f>
        <v>1.0000013739907188</v>
      </c>
      <c r="BA24" s="21">
        <f t="shared" si="82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4">1.00000381*(1+0.00000084*($BG$22-19.8))</f>
        <v>1.0000065820105613</v>
      </c>
      <c r="BH24" s="21">
        <f t="shared" si="83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5">1.00000381*(1+0.00000084*($BN$22-19.8))</f>
        <v>1.0000029699967996</v>
      </c>
      <c r="BO24" s="21">
        <f t="shared" ref="BO24:BO37" si="116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17">1.00000381*(1+0.00000084*($BU$22-19.8))</f>
        <v>1.0000121680318441</v>
      </c>
      <c r="BV24" s="21">
        <f t="shared" si="85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18">1.00000381*(1+0.00000084*($CB$22-19.8))</f>
        <v>1.0000072540131217</v>
      </c>
      <c r="CC24" s="21">
        <f t="shared" si="86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19">1.00000381*(1+0.00000084*($CI$22-19.8))</f>
        <v>1.0000114540291236</v>
      </c>
      <c r="CJ24" s="21">
        <f t="shared" si="87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0">1.00000381*(1+0.00000084*($CP$22-19.8))</f>
        <v>1.0000017099919989</v>
      </c>
      <c r="CQ24" s="21">
        <f t="shared" si="88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1">1.00000381*(1+0.00000084*($CP$22-19.8))</f>
        <v>1.0000017099919989</v>
      </c>
      <c r="CX24" s="21">
        <f t="shared" si="89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2">1.00000381*(1+0.00000084*($DD$22-19.8))</f>
        <v>1.0000012059900787</v>
      </c>
      <c r="DE24" s="21">
        <f t="shared" si="90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3">1.00000381*(1+0.00000084*($DK$22-19.8))</f>
        <v>1.0000036839995199</v>
      </c>
      <c r="DL24" s="21">
        <f t="shared" si="91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4">1.00000381*(1+0.00000084*($DR$22-19.8))</f>
        <v>1.0000032219977597</v>
      </c>
      <c r="DS24" s="21">
        <f t="shared" si="92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5">1.00000381*(1+0.00000084*($DY$22-19.8))</f>
        <v>1.0000051960052807</v>
      </c>
      <c r="DZ24" s="21">
        <f t="shared" si="93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6">1.00000381*(1+0.00000084*($EF$22-19.8))</f>
        <v>1.0000114120289636</v>
      </c>
      <c r="EG24" s="21">
        <f t="shared" si="94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27">1.00000381*(1+0.00000084*($EM$22-19.8))</f>
        <v>1.0000063720097612</v>
      </c>
      <c r="EN24" s="21">
        <f t="shared" si="95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28">1.00000381*(1+0.00000084*($ET$22-19.8))</f>
        <v>1.0000127560340841</v>
      </c>
      <c r="EU24" s="21">
        <f t="shared" si="96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29">1.00000381*(1+0.00000084*($FA$22-19.8))</f>
        <v>1.0000031589975196</v>
      </c>
      <c r="FB24" s="21">
        <f t="shared" si="97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0">1.00000381*(1+0.00000084*($FH$22-19.8))</f>
        <v>1.0000045660028802</v>
      </c>
      <c r="FI24" s="21">
        <f t="shared" si="98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1">1.00000381*(1+0.00000084*($FO$22-19.8))</f>
        <v>1.0000011219897587</v>
      </c>
      <c r="FP24" s="21">
        <f t="shared" si="99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2">1.00000381*(1+0.00000084*($FV$22-19.8))</f>
        <v>0.99999952598367792</v>
      </c>
      <c r="FW24" s="21">
        <f t="shared" si="100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3">1.00000381*(1+0.00000084*($GC$22-19.8))</f>
        <v>1.0000018359924789</v>
      </c>
      <c r="GD24" s="21">
        <f t="shared" si="101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4">1.00000381*(1+0.00000084*($GJ$22-19.8))</f>
        <v>1.0000019199927992</v>
      </c>
      <c r="GK24" s="21">
        <f t="shared" si="102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5">1.00000381*(1+0.00000084*($GQ$22-19.8))</f>
        <v>1.0000009329890385</v>
      </c>
      <c r="GR24" s="21">
        <f t="shared" si="103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6">1.00000381*(1+0.00000084*($GX$22-19.8))</f>
        <v>1.00000420900152</v>
      </c>
      <c r="GY24" s="21">
        <f t="shared" si="104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37">1.00000381*(1+0.00000084*($HE$22-19.8))</f>
        <v>1.0000110130274433</v>
      </c>
      <c r="HF24" s="21">
        <f t="shared" si="105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38">1.00000381*(1+0.00000084*($HL$22-19.8))</f>
        <v>1.0000017099919989</v>
      </c>
      <c r="HM24" s="21">
        <f t="shared" si="106"/>
        <v>0.28235048281624087</v>
      </c>
      <c r="HN24" s="5">
        <v>10</v>
      </c>
      <c r="HO24" s="3">
        <v>1.0000000000000001E-5</v>
      </c>
    </row>
    <row r="25" spans="1:223" ht="15.75" x14ac:dyDescent="0.25">
      <c r="A25" s="5">
        <v>9</v>
      </c>
      <c r="B25" s="5">
        <v>0.53149000000000002</v>
      </c>
      <c r="C25" s="5">
        <f t="shared" si="75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07"/>
        <v>1.0000070020121616</v>
      </c>
      <c r="K25" s="21">
        <f t="shared" si="76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08"/>
        <v>1.0000085980182423</v>
      </c>
      <c r="R25" s="21">
        <f t="shared" si="77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09"/>
        <v>1.0000085980182423</v>
      </c>
      <c r="Y25" s="21">
        <f t="shared" si="78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0"/>
        <v>1.0000062460092811</v>
      </c>
      <c r="AF25" s="21">
        <f t="shared" si="79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1"/>
        <v>1.0000126300336041</v>
      </c>
      <c r="AM25" s="21">
        <f t="shared" si="80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2"/>
        <v>1.0000023819945592</v>
      </c>
      <c r="AT25" s="21">
        <f t="shared" si="81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3"/>
        <v>1.0000013739907188</v>
      </c>
      <c r="BA25" s="21">
        <f t="shared" si="82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4"/>
        <v>1.0000065820105613</v>
      </c>
      <c r="BH25" s="21">
        <f t="shared" si="83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5"/>
        <v>1.0000029699967996</v>
      </c>
      <c r="BO25" s="21">
        <f t="shared" si="116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17"/>
        <v>1.0000121680318441</v>
      </c>
      <c r="BV25" s="21">
        <f t="shared" si="85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18"/>
        <v>1.0000072540131217</v>
      </c>
      <c r="CC25" s="21">
        <f t="shared" si="86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19"/>
        <v>1.0000114540291236</v>
      </c>
      <c r="CJ25" s="21">
        <f t="shared" si="87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0"/>
        <v>1.0000017099919989</v>
      </c>
      <c r="CQ25" s="21">
        <f t="shared" si="88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1"/>
        <v>1.0000017099919989</v>
      </c>
      <c r="CX25" s="21">
        <f t="shared" si="89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2"/>
        <v>1.0000012059900787</v>
      </c>
      <c r="DE25" s="21">
        <f t="shared" si="90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3"/>
        <v>1.0000036839995199</v>
      </c>
      <c r="DL25" s="21">
        <f t="shared" si="91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4"/>
        <v>1.0000032219977597</v>
      </c>
      <c r="DS25" s="21">
        <f t="shared" si="92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5"/>
        <v>1.0000051960052807</v>
      </c>
      <c r="DZ25" s="21">
        <f t="shared" si="93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6"/>
        <v>1.0000114120289636</v>
      </c>
      <c r="EG25" s="21">
        <f t="shared" si="94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27"/>
        <v>1.0000063720097612</v>
      </c>
      <c r="EN25" s="21">
        <f t="shared" si="95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28"/>
        <v>1.0000127560340841</v>
      </c>
      <c r="EU25" s="21">
        <f t="shared" si="96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29"/>
        <v>1.0000031589975196</v>
      </c>
      <c r="FB25" s="21">
        <f t="shared" si="97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0"/>
        <v>1.0000045660028802</v>
      </c>
      <c r="FI25" s="21">
        <f t="shared" si="98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1"/>
        <v>1.0000011219897587</v>
      </c>
      <c r="FP25" s="21">
        <f t="shared" si="99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2"/>
        <v>0.99999952598367792</v>
      </c>
      <c r="FW25" s="21">
        <f t="shared" si="100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3"/>
        <v>1.0000018359924789</v>
      </c>
      <c r="GD25" s="21">
        <f t="shared" si="101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4"/>
        <v>1.0000019199927992</v>
      </c>
      <c r="GK25" s="21">
        <f t="shared" si="102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5"/>
        <v>1.0000009329890385</v>
      </c>
      <c r="GR25" s="21">
        <f t="shared" si="103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6"/>
        <v>1.00000420900152</v>
      </c>
      <c r="GY25" s="21">
        <f t="shared" si="104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37"/>
        <v>1.0000110130274433</v>
      </c>
      <c r="HF25" s="21">
        <f t="shared" si="105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38"/>
        <v>1.0000017099919989</v>
      </c>
      <c r="HM25" s="21">
        <f t="shared" si="106"/>
        <v>0.52928090506456515</v>
      </c>
      <c r="HN25" s="5">
        <v>10</v>
      </c>
      <c r="HO25" s="3">
        <v>1.0000000000000001E-5</v>
      </c>
    </row>
    <row r="26" spans="1:223" ht="15.75" x14ac:dyDescent="0.25">
      <c r="A26" s="5">
        <v>10</v>
      </c>
      <c r="B26" s="5">
        <v>0.79905000000000004</v>
      </c>
      <c r="C26" s="5">
        <f t="shared" si="75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07"/>
        <v>1.0000070020121616</v>
      </c>
      <c r="K26" s="21">
        <f t="shared" si="76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08"/>
        <v>1.0000085980182423</v>
      </c>
      <c r="R26" s="21">
        <f t="shared" si="77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09"/>
        <v>1.0000085980182423</v>
      </c>
      <c r="Y26" s="21">
        <f t="shared" si="78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0"/>
        <v>1.0000062460092811</v>
      </c>
      <c r="AF26" s="21">
        <f t="shared" si="79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1"/>
        <v>1.0000126300336041</v>
      </c>
      <c r="AM26" s="21">
        <f t="shared" si="80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2"/>
        <v>1.0000023819945592</v>
      </c>
      <c r="AT26" s="21">
        <f t="shared" si="81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3"/>
        <v>1.0000013739907188</v>
      </c>
      <c r="BA26" s="21">
        <f t="shared" si="82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4"/>
        <v>1.0000065820105613</v>
      </c>
      <c r="BH26" s="21">
        <f t="shared" si="83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5"/>
        <v>1.0000029699967996</v>
      </c>
      <c r="BO26" s="21">
        <f t="shared" si="116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17"/>
        <v>1.0000121680318441</v>
      </c>
      <c r="BV26" s="21">
        <f t="shared" si="85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18"/>
        <v>1.0000072540131217</v>
      </c>
      <c r="CC26" s="21">
        <f t="shared" si="86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19"/>
        <v>1.0000114540291236</v>
      </c>
      <c r="CJ26" s="21">
        <f t="shared" si="87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0"/>
        <v>1.0000017099919989</v>
      </c>
      <c r="CQ26" s="21">
        <f t="shared" si="88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1"/>
        <v>1.0000017099919989</v>
      </c>
      <c r="CX26" s="21">
        <f t="shared" si="89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2"/>
        <v>1.0000012059900787</v>
      </c>
      <c r="DE26" s="21">
        <f t="shared" si="90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3"/>
        <v>1.0000036839995199</v>
      </c>
      <c r="DL26" s="21">
        <f t="shared" si="91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4"/>
        <v>1.0000032219977597</v>
      </c>
      <c r="DS26" s="21">
        <f t="shared" si="92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5"/>
        <v>1.0000051960052807</v>
      </c>
      <c r="DZ26" s="21">
        <f t="shared" si="93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6"/>
        <v>1.0000114120289636</v>
      </c>
      <c r="EG26" s="21">
        <f t="shared" si="94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27"/>
        <v>1.0000063720097612</v>
      </c>
      <c r="EN26" s="21">
        <f t="shared" si="95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28"/>
        <v>1.0000127560340841</v>
      </c>
      <c r="EU26" s="21">
        <f t="shared" si="96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29"/>
        <v>1.0000031589975196</v>
      </c>
      <c r="FB26" s="21">
        <f t="shared" si="97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0"/>
        <v>1.0000045660028802</v>
      </c>
      <c r="FI26" s="21">
        <f t="shared" si="98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1"/>
        <v>1.0000011219897587</v>
      </c>
      <c r="FP26" s="21">
        <f t="shared" si="99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2"/>
        <v>0.99999952598367792</v>
      </c>
      <c r="FW26" s="21">
        <f t="shared" si="100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3"/>
        <v>1.0000018359924789</v>
      </c>
      <c r="GD26" s="21">
        <f t="shared" si="101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4"/>
        <v>1.0000019199927992</v>
      </c>
      <c r="GK26" s="21">
        <f t="shared" si="102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5"/>
        <v>1.0000009329890385</v>
      </c>
      <c r="GR26" s="21">
        <f t="shared" si="103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6"/>
        <v>1.00000420900152</v>
      </c>
      <c r="GY26" s="21">
        <f t="shared" si="104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37"/>
        <v>1.0000110130274433</v>
      </c>
      <c r="HF26" s="21">
        <f t="shared" si="105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38"/>
        <v>1.0000017099919989</v>
      </c>
      <c r="HM26" s="21">
        <f t="shared" si="106"/>
        <v>0.79689136267552396</v>
      </c>
      <c r="HN26" s="5">
        <v>10</v>
      </c>
      <c r="HO26" s="3">
        <v>1.0000000000000001E-5</v>
      </c>
    </row>
    <row r="27" spans="1:223" ht="15.75" x14ac:dyDescent="0.25">
      <c r="A27" s="5">
        <v>11</v>
      </c>
      <c r="B27" s="5">
        <v>1.13209</v>
      </c>
      <c r="C27" s="5">
        <f t="shared" si="75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07"/>
        <v>1.0000070020121616</v>
      </c>
      <c r="K27" s="21">
        <f t="shared" si="76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08"/>
        <v>1.0000085980182423</v>
      </c>
      <c r="R27" s="21">
        <f t="shared" si="77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09"/>
        <v>1.0000085980182423</v>
      </c>
      <c r="Y27" s="21">
        <f t="shared" si="78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0"/>
        <v>1.0000062460092811</v>
      </c>
      <c r="AF27" s="21">
        <f t="shared" si="79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1"/>
        <v>1.0000126300336041</v>
      </c>
      <c r="AM27" s="21">
        <f t="shared" si="80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2"/>
        <v>1.0000023819945592</v>
      </c>
      <c r="AT27" s="21">
        <f t="shared" si="81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3"/>
        <v>1.0000013739907188</v>
      </c>
      <c r="BA27" s="21">
        <f t="shared" si="82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4"/>
        <v>1.0000065820105613</v>
      </c>
      <c r="BH27" s="21">
        <f t="shared" si="83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5"/>
        <v>1.0000029699967996</v>
      </c>
      <c r="BO27" s="21">
        <f t="shared" si="116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17"/>
        <v>1.0000121680318441</v>
      </c>
      <c r="BV27" s="21">
        <f t="shared" si="85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18"/>
        <v>1.0000072540131217</v>
      </c>
      <c r="CC27" s="21">
        <f t="shared" si="86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19"/>
        <v>1.0000114540291236</v>
      </c>
      <c r="CJ27" s="21">
        <f t="shared" si="87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0"/>
        <v>1.0000017099919989</v>
      </c>
      <c r="CQ27" s="21">
        <f t="shared" si="88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1"/>
        <v>1.0000017099919989</v>
      </c>
      <c r="CX27" s="21">
        <f t="shared" si="89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2"/>
        <v>1.0000012059900787</v>
      </c>
      <c r="DE27" s="21">
        <f t="shared" si="90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3"/>
        <v>1.0000036839995199</v>
      </c>
      <c r="DL27" s="21">
        <f t="shared" si="91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4"/>
        <v>1.0000032219977597</v>
      </c>
      <c r="DS27" s="21">
        <f t="shared" si="92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5"/>
        <v>1.0000051960052807</v>
      </c>
      <c r="DZ27" s="21">
        <f t="shared" si="93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6"/>
        <v>1.0000114120289636</v>
      </c>
      <c r="EG27" s="21">
        <f t="shared" si="94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27"/>
        <v>1.0000063720097612</v>
      </c>
      <c r="EN27" s="21">
        <f t="shared" si="95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28"/>
        <v>1.0000127560340841</v>
      </c>
      <c r="EU27" s="21">
        <f t="shared" si="96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29"/>
        <v>1.0000031589975196</v>
      </c>
      <c r="FB27" s="21">
        <f t="shared" si="97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0"/>
        <v>1.0000045660028802</v>
      </c>
      <c r="FI27" s="21">
        <f t="shared" si="98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1"/>
        <v>1.0000011219897587</v>
      </c>
      <c r="FP27" s="21">
        <f t="shared" si="99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2"/>
        <v>0.99999952598367792</v>
      </c>
      <c r="FW27" s="21">
        <f t="shared" si="100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3"/>
        <v>1.0000018359924789</v>
      </c>
      <c r="GD27" s="21">
        <f t="shared" si="101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4"/>
        <v>1.0000019199927992</v>
      </c>
      <c r="GK27" s="21">
        <f t="shared" si="102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5"/>
        <v>1.0000009329890385</v>
      </c>
      <c r="GR27" s="21">
        <f t="shared" si="103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6"/>
        <v>1.00000420900152</v>
      </c>
      <c r="GY27" s="21">
        <f t="shared" si="104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37"/>
        <v>1.0000110130274433</v>
      </c>
      <c r="HF27" s="21">
        <f t="shared" si="105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38"/>
        <v>1.0000017099919989</v>
      </c>
      <c r="HM27" s="21">
        <f t="shared" si="106"/>
        <v>1.1299719322396589</v>
      </c>
      <c r="HN27" s="5">
        <v>10</v>
      </c>
      <c r="HO27" s="3">
        <v>1.0000000000000001E-5</v>
      </c>
    </row>
    <row r="28" spans="1:223" ht="15.75" x14ac:dyDescent="0.25">
      <c r="A28" s="5">
        <v>12</v>
      </c>
      <c r="B28" s="5">
        <v>1.39595</v>
      </c>
      <c r="C28" s="5">
        <f t="shared" si="75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07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08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09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0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1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2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3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4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5"/>
        <v>1.0000029699967996</v>
      </c>
      <c r="BO28" s="21">
        <f t="shared" si="116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17"/>
        <v>1.0000121680318441</v>
      </c>
      <c r="BV28" s="21">
        <f t="shared" si="85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18"/>
        <v>1.0000072540131217</v>
      </c>
      <c r="CC28" s="21">
        <f t="shared" si="86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19"/>
        <v>1.0000114540291236</v>
      </c>
      <c r="CJ28" s="21">
        <f t="shared" si="87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0"/>
        <v>1.0000017099919989</v>
      </c>
      <c r="CQ28" s="21">
        <f t="shared" si="88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1"/>
        <v>1.0000017099919989</v>
      </c>
      <c r="CX28" s="21">
        <f t="shared" si="89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2"/>
        <v>1.0000012059900787</v>
      </c>
      <c r="DE28" s="21">
        <f t="shared" si="90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3"/>
        <v>1.0000036839995199</v>
      </c>
      <c r="DL28" s="21">
        <f t="shared" si="91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4"/>
        <v>1.0000032219977597</v>
      </c>
      <c r="DS28" s="21">
        <f t="shared" si="92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5"/>
        <v>1.0000051960052807</v>
      </c>
      <c r="DZ28" s="21">
        <f t="shared" si="93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6"/>
        <v>1.0000114120289636</v>
      </c>
      <c r="EG28" s="21">
        <f t="shared" si="94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27"/>
        <v>1.0000063720097612</v>
      </c>
      <c r="EN28" s="21">
        <f t="shared" si="95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28"/>
        <v>1.0000127560340841</v>
      </c>
      <c r="EU28" s="21">
        <f t="shared" si="96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29"/>
        <v>1.0000031589975196</v>
      </c>
      <c r="FB28" s="21">
        <f t="shared" si="97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0"/>
        <v>1.0000045660028802</v>
      </c>
      <c r="FI28" s="21">
        <f t="shared" si="98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1"/>
        <v>1.0000011219897587</v>
      </c>
      <c r="FP28" s="21">
        <f t="shared" si="99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2"/>
        <v>0.99999952598367792</v>
      </c>
      <c r="FW28" s="21">
        <f t="shared" si="100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3"/>
        <v>1.0000018359924789</v>
      </c>
      <c r="GD28" s="21">
        <f t="shared" si="101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4"/>
        <v>1.0000019199927992</v>
      </c>
      <c r="GK28" s="21">
        <f t="shared" si="102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5"/>
        <v>1.0000009329890385</v>
      </c>
      <c r="GR28" s="21">
        <f t="shared" si="103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6"/>
        <v>1.00000420900152</v>
      </c>
      <c r="GY28" s="21">
        <f t="shared" si="104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37"/>
        <v>1.0000110130274433</v>
      </c>
      <c r="HF28" s="21">
        <f t="shared" si="105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38"/>
        <v>1.0000017099919989</v>
      </c>
      <c r="HM28" s="21">
        <f t="shared" si="106"/>
        <v>1.3938323834381476</v>
      </c>
      <c r="HN28" s="5">
        <v>10</v>
      </c>
      <c r="HO28" s="3">
        <v>1.0000000000000001E-5</v>
      </c>
    </row>
    <row r="29" spans="1:223" ht="15.75" x14ac:dyDescent="0.25">
      <c r="A29" s="5">
        <v>13</v>
      </c>
      <c r="B29" s="5">
        <v>1.5216499999999999</v>
      </c>
      <c r="C29" s="5">
        <f t="shared" si="75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07"/>
        <v>1.0000070020121616</v>
      </c>
      <c r="K29" s="21">
        <f t="shared" ref="K29:K37" si="139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08"/>
        <v>1.0000085980182423</v>
      </c>
      <c r="R29" s="21">
        <f t="shared" ref="R29:R33" si="140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09"/>
        <v>1.0000085980182423</v>
      </c>
      <c r="Y29" s="21">
        <f t="shared" ref="Y29:Y33" si="141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0"/>
        <v>1.0000062460092811</v>
      </c>
      <c r="AF29" s="21">
        <f t="shared" ref="AF29:AF33" si="142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1"/>
        <v>1.0000126300336041</v>
      </c>
      <c r="AM29" s="21">
        <f t="shared" ref="AM29:AM33" si="143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2"/>
        <v>1.0000023819945592</v>
      </c>
      <c r="AT29" s="21">
        <f t="shared" ref="AT29:AT33" si="144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3"/>
        <v>1.0000013739907188</v>
      </c>
      <c r="BA29" s="21">
        <f t="shared" ref="BA29:BA33" si="145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4"/>
        <v>1.0000065820105613</v>
      </c>
      <c r="BH29" s="21">
        <f t="shared" ref="BH29:BH33" si="146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5"/>
        <v>1.0000029699967996</v>
      </c>
      <c r="BO29" s="21">
        <f t="shared" si="116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17"/>
        <v>1.0000121680318441</v>
      </c>
      <c r="BV29" s="21">
        <f t="shared" si="85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18"/>
        <v>1.0000072540131217</v>
      </c>
      <c r="CC29" s="21">
        <f t="shared" si="86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19"/>
        <v>1.0000114540291236</v>
      </c>
      <c r="CJ29" s="21">
        <f t="shared" si="87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0"/>
        <v>1.0000017099919989</v>
      </c>
      <c r="CQ29" s="21">
        <f t="shared" si="88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1"/>
        <v>1.0000017099919989</v>
      </c>
      <c r="CX29" s="21">
        <f t="shared" si="89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2"/>
        <v>1.0000012059900787</v>
      </c>
      <c r="DE29" s="21">
        <f t="shared" si="90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3"/>
        <v>1.0000036839995199</v>
      </c>
      <c r="DL29" s="21">
        <f t="shared" si="91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4"/>
        <v>1.0000032219977597</v>
      </c>
      <c r="DS29" s="21">
        <f t="shared" si="92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5"/>
        <v>1.0000051960052807</v>
      </c>
      <c r="DZ29" s="21">
        <f t="shared" si="93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6"/>
        <v>1.0000114120289636</v>
      </c>
      <c r="EG29" s="21">
        <f t="shared" si="94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27"/>
        <v>1.0000063720097612</v>
      </c>
      <c r="EN29" s="21">
        <f t="shared" si="95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28"/>
        <v>1.0000127560340841</v>
      </c>
      <c r="EU29" s="21">
        <f t="shared" si="96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29"/>
        <v>1.0000031589975196</v>
      </c>
      <c r="FB29" s="21">
        <f t="shared" si="97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0"/>
        <v>1.0000045660028802</v>
      </c>
      <c r="FI29" s="21">
        <f t="shared" si="98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1"/>
        <v>1.0000011219897587</v>
      </c>
      <c r="FP29" s="21">
        <f t="shared" si="99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2"/>
        <v>0.99999952598367792</v>
      </c>
      <c r="FW29" s="21">
        <f t="shared" si="100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3"/>
        <v>1.0000018359924789</v>
      </c>
      <c r="GD29" s="21">
        <f t="shared" si="101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4"/>
        <v>1.0000019199927992</v>
      </c>
      <c r="GK29" s="21">
        <f t="shared" si="102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5"/>
        <v>1.0000009329890385</v>
      </c>
      <c r="GR29" s="21">
        <f t="shared" si="103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6"/>
        <v>1.00000420900152</v>
      </c>
      <c r="GY29" s="21">
        <f t="shared" si="104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37"/>
        <v>1.0000110130274433</v>
      </c>
      <c r="HF29" s="21">
        <f t="shared" si="105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38"/>
        <v>1.0000017099919989</v>
      </c>
      <c r="HM29" s="21">
        <f t="shared" si="106"/>
        <v>1.5196925986577408</v>
      </c>
      <c r="HN29" s="5">
        <v>10</v>
      </c>
      <c r="HO29" s="3">
        <v>1.0000000000000001E-5</v>
      </c>
    </row>
    <row r="30" spans="1:223" ht="15.75" x14ac:dyDescent="0.25">
      <c r="A30" s="5">
        <v>14</v>
      </c>
      <c r="B30" s="5">
        <v>1.65116</v>
      </c>
      <c r="C30" s="5">
        <f t="shared" si="75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07"/>
        <v>1.0000070020121616</v>
      </c>
      <c r="K30" s="21">
        <f t="shared" si="139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08"/>
        <v>1.0000085980182423</v>
      </c>
      <c r="R30" s="21">
        <f t="shared" si="140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09"/>
        <v>1.0000085980182423</v>
      </c>
      <c r="Y30" s="21">
        <f t="shared" si="141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0"/>
        <v>1.0000062460092811</v>
      </c>
      <c r="AF30" s="21">
        <f t="shared" si="142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1"/>
        <v>1.0000126300336041</v>
      </c>
      <c r="AM30" s="21">
        <f t="shared" si="143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2"/>
        <v>1.0000023819945592</v>
      </c>
      <c r="AT30" s="21">
        <f t="shared" si="144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3"/>
        <v>1.0000013739907188</v>
      </c>
      <c r="BA30" s="21">
        <f t="shared" si="145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4"/>
        <v>1.0000065820105613</v>
      </c>
      <c r="BH30" s="21">
        <f t="shared" si="146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5"/>
        <v>1.0000029699967996</v>
      </c>
      <c r="BO30" s="21">
        <f t="shared" si="116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17"/>
        <v>1.0000121680318441</v>
      </c>
      <c r="BV30" s="21">
        <f t="shared" si="85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18"/>
        <v>1.0000072540131217</v>
      </c>
      <c r="CC30" s="21">
        <f t="shared" si="86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19"/>
        <v>1.0000114540291236</v>
      </c>
      <c r="CJ30" s="21">
        <f t="shared" si="87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0"/>
        <v>1.0000017099919989</v>
      </c>
      <c r="CQ30" s="21">
        <f t="shared" si="88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1"/>
        <v>1.0000017099919989</v>
      </c>
      <c r="CX30" s="21">
        <f t="shared" si="89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2"/>
        <v>1.0000012059900787</v>
      </c>
      <c r="DE30" s="21">
        <f t="shared" si="90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3"/>
        <v>1.0000036839995199</v>
      </c>
      <c r="DL30" s="21">
        <f t="shared" si="91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4"/>
        <v>1.0000032219977597</v>
      </c>
      <c r="DS30" s="21">
        <f t="shared" si="92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5"/>
        <v>1.0000051960052807</v>
      </c>
      <c r="DZ30" s="21">
        <f t="shared" si="93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6"/>
        <v>1.0000114120289636</v>
      </c>
      <c r="EG30" s="21">
        <f t="shared" si="94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27"/>
        <v>1.0000063720097612</v>
      </c>
      <c r="EN30" s="21">
        <f t="shared" si="95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28"/>
        <v>1.0000127560340841</v>
      </c>
      <c r="EU30" s="21">
        <f t="shared" si="96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29"/>
        <v>1.0000031589975196</v>
      </c>
      <c r="FB30" s="21">
        <f t="shared" si="97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0"/>
        <v>1.0000045660028802</v>
      </c>
      <c r="FI30" s="21">
        <f t="shared" si="98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1"/>
        <v>1.0000011219897587</v>
      </c>
      <c r="FP30" s="21">
        <f t="shared" si="99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2"/>
        <v>0.99999952598367792</v>
      </c>
      <c r="FW30" s="21">
        <f t="shared" si="100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3"/>
        <v>1.0000018359924789</v>
      </c>
      <c r="GD30" s="21">
        <f t="shared" si="101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4"/>
        <v>1.0000019199927992</v>
      </c>
      <c r="GK30" s="21">
        <f t="shared" si="102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5"/>
        <v>1.0000009329890385</v>
      </c>
      <c r="GR30" s="21">
        <f t="shared" si="103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6"/>
        <v>1.00000420900152</v>
      </c>
      <c r="GY30" s="21">
        <f t="shared" si="104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37"/>
        <v>1.0000110130274433</v>
      </c>
      <c r="HF30" s="21">
        <f t="shared" si="105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38"/>
        <v>1.0000017099919989</v>
      </c>
      <c r="HM30" s="21">
        <f t="shared" si="106"/>
        <v>1.6494728205805025</v>
      </c>
      <c r="HN30" s="5">
        <v>10</v>
      </c>
      <c r="HO30" s="3">
        <v>0</v>
      </c>
    </row>
    <row r="31" spans="1:223" ht="15.75" x14ac:dyDescent="0.25">
      <c r="A31" s="5">
        <v>15</v>
      </c>
      <c r="B31" s="5">
        <v>1.8801699999999999</v>
      </c>
      <c r="C31" s="5">
        <f t="shared" si="75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07"/>
        <v>1.0000070020121616</v>
      </c>
      <c r="K31" s="21">
        <f t="shared" si="139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08"/>
        <v>1.0000085980182423</v>
      </c>
      <c r="R31" s="21">
        <f t="shared" si="140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09"/>
        <v>1.0000085980182423</v>
      </c>
      <c r="Y31" s="21">
        <f t="shared" si="141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0"/>
        <v>1.0000062460092811</v>
      </c>
      <c r="AF31" s="21">
        <f t="shared" si="142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1"/>
        <v>1.0000126300336041</v>
      </c>
      <c r="AM31" s="21">
        <f t="shared" si="143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2"/>
        <v>1.0000023819945592</v>
      </c>
      <c r="AT31" s="21">
        <f t="shared" si="144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3"/>
        <v>1.0000013739907188</v>
      </c>
      <c r="BA31" s="21">
        <f t="shared" si="145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4"/>
        <v>1.0000065820105613</v>
      </c>
      <c r="BH31" s="21">
        <f t="shared" si="146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5"/>
        <v>1.0000029699967996</v>
      </c>
      <c r="BO31" s="21">
        <f t="shared" si="116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17"/>
        <v>1.0000121680318441</v>
      </c>
      <c r="BV31" s="21">
        <f t="shared" si="85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18"/>
        <v>1.0000072540131217</v>
      </c>
      <c r="CC31" s="21">
        <f t="shared" si="86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19"/>
        <v>1.0000114540291236</v>
      </c>
      <c r="CJ31" s="21">
        <f t="shared" si="87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0"/>
        <v>1.0000017099919989</v>
      </c>
      <c r="CQ31" s="21">
        <f t="shared" si="88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1"/>
        <v>1.0000017099919989</v>
      </c>
      <c r="CX31" s="21">
        <f t="shared" si="89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2"/>
        <v>1.0000012059900787</v>
      </c>
      <c r="DE31" s="21">
        <f t="shared" si="90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3"/>
        <v>1.0000036839995199</v>
      </c>
      <c r="DL31" s="21">
        <f t="shared" si="91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4"/>
        <v>1.0000032219977597</v>
      </c>
      <c r="DS31" s="21">
        <f t="shared" si="92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5"/>
        <v>1.0000051960052807</v>
      </c>
      <c r="DZ31" s="21">
        <f t="shared" si="93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6"/>
        <v>1.0000114120289636</v>
      </c>
      <c r="EG31" s="21">
        <f t="shared" si="94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27"/>
        <v>1.0000063720097612</v>
      </c>
      <c r="EN31" s="21">
        <f t="shared" si="95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28"/>
        <v>1.0000127560340841</v>
      </c>
      <c r="EU31" s="21">
        <f t="shared" si="96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29"/>
        <v>1.0000031589975196</v>
      </c>
      <c r="FB31" s="21">
        <f t="shared" si="97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0"/>
        <v>1.0000045660028802</v>
      </c>
      <c r="FI31" s="21">
        <f t="shared" si="98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1"/>
        <v>1.0000011219897587</v>
      </c>
      <c r="FP31" s="21">
        <f t="shared" si="99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2"/>
        <v>0.99999952598367792</v>
      </c>
      <c r="FW31" s="21">
        <f t="shared" si="100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3"/>
        <v>1.0000018359924789</v>
      </c>
      <c r="GD31" s="21">
        <f t="shared" si="101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4"/>
        <v>1.0000019199927992</v>
      </c>
      <c r="GK31" s="21">
        <f t="shared" si="102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5"/>
        <v>1.0000009329890385</v>
      </c>
      <c r="GR31" s="21">
        <f t="shared" si="103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6"/>
        <v>1.00000420900152</v>
      </c>
      <c r="GY31" s="21">
        <f t="shared" si="104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37"/>
        <v>1.0000110130274433</v>
      </c>
      <c r="HF31" s="21">
        <f t="shared" si="105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38"/>
        <v>1.0000017099919989</v>
      </c>
      <c r="HM31" s="21">
        <f t="shared" si="106"/>
        <v>1.877883211159775</v>
      </c>
      <c r="HN31" s="5">
        <v>10</v>
      </c>
      <c r="HO31" s="3">
        <v>1.0000000000000001E-5</v>
      </c>
    </row>
    <row r="32" spans="1:223" ht="15.75" x14ac:dyDescent="0.25">
      <c r="A32" s="5">
        <v>16</v>
      </c>
      <c r="B32" s="5">
        <v>2.0623300000000002</v>
      </c>
      <c r="C32" s="5">
        <f t="shared" si="75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07"/>
        <v>1.0000070020121616</v>
      </c>
      <c r="K32" s="21">
        <f t="shared" si="139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08"/>
        <v>1.0000085980182423</v>
      </c>
      <c r="R32" s="21">
        <f t="shared" si="140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09"/>
        <v>1.0000085980182423</v>
      </c>
      <c r="Y32" s="21">
        <f t="shared" si="141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0"/>
        <v>1.0000062460092811</v>
      </c>
      <c r="AF32" s="21">
        <f t="shared" si="142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1"/>
        <v>1.0000126300336041</v>
      </c>
      <c r="AM32" s="21">
        <f t="shared" si="143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2"/>
        <v>1.0000023819945592</v>
      </c>
      <c r="AT32" s="21">
        <f t="shared" si="144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3"/>
        <v>1.0000013739907188</v>
      </c>
      <c r="BA32" s="21">
        <f t="shared" si="145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4"/>
        <v>1.0000065820105613</v>
      </c>
      <c r="BH32" s="21">
        <f t="shared" si="146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5"/>
        <v>1.0000029699967996</v>
      </c>
      <c r="BO32" s="21">
        <f t="shared" si="116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17"/>
        <v>1.0000121680318441</v>
      </c>
      <c r="BV32" s="21">
        <f t="shared" si="85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18"/>
        <v>1.0000072540131217</v>
      </c>
      <c r="CC32" s="21">
        <f t="shared" si="86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19"/>
        <v>1.0000114540291236</v>
      </c>
      <c r="CJ32" s="21">
        <f t="shared" si="87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0"/>
        <v>1.0000017099919989</v>
      </c>
      <c r="CQ32" s="21">
        <f t="shared" si="88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1"/>
        <v>1.0000017099919989</v>
      </c>
      <c r="CX32" s="21">
        <f t="shared" si="89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2"/>
        <v>1.0000012059900787</v>
      </c>
      <c r="DE32" s="21">
        <f t="shared" si="90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3"/>
        <v>1.0000036839995199</v>
      </c>
      <c r="DL32" s="21">
        <f t="shared" si="91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4"/>
        <v>1.0000032219977597</v>
      </c>
      <c r="DS32" s="21">
        <f t="shared" si="92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5"/>
        <v>1.0000051960052807</v>
      </c>
      <c r="DZ32" s="21">
        <f t="shared" si="93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6"/>
        <v>1.0000114120289636</v>
      </c>
      <c r="EG32" s="21">
        <f t="shared" si="94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27"/>
        <v>1.0000063720097612</v>
      </c>
      <c r="EN32" s="21">
        <f t="shared" si="95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28"/>
        <v>1.0000127560340841</v>
      </c>
      <c r="EU32" s="21">
        <f t="shared" si="96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29"/>
        <v>1.0000031589975196</v>
      </c>
      <c r="FB32" s="21">
        <f t="shared" si="97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0"/>
        <v>1.0000045660028802</v>
      </c>
      <c r="FI32" s="21">
        <f t="shared" si="98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1"/>
        <v>1.0000011219897587</v>
      </c>
      <c r="FP32" s="21">
        <f t="shared" si="99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2"/>
        <v>0.99999952598367792</v>
      </c>
      <c r="FW32" s="21">
        <f t="shared" si="100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3"/>
        <v>1.0000018359924789</v>
      </c>
      <c r="GD32" s="21">
        <f t="shared" si="101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4"/>
        <v>1.0000019199927992</v>
      </c>
      <c r="GK32" s="21">
        <f t="shared" si="102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5"/>
        <v>1.0000009329890385</v>
      </c>
      <c r="GR32" s="21">
        <f t="shared" si="103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6"/>
        <v>1.00000420900152</v>
      </c>
      <c r="GY32" s="21">
        <f t="shared" si="104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37"/>
        <v>1.0000110130274433</v>
      </c>
      <c r="HF32" s="21">
        <f t="shared" si="105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38"/>
        <v>1.0000017099919989</v>
      </c>
      <c r="HM32" s="21">
        <f t="shared" si="106"/>
        <v>2.0603235231307151</v>
      </c>
      <c r="HN32" s="5">
        <v>10</v>
      </c>
      <c r="HO32" s="3">
        <v>1.0000000000000001E-5</v>
      </c>
    </row>
    <row r="33" spans="1:223" ht="15.75" x14ac:dyDescent="0.25">
      <c r="A33" s="5">
        <v>17</v>
      </c>
      <c r="B33" s="5">
        <v>2.21428</v>
      </c>
      <c r="C33" s="5">
        <f t="shared" si="75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07"/>
        <v>1.0000070020121616</v>
      </c>
      <c r="K33" s="21">
        <f t="shared" si="139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08"/>
        <v>1.0000085980182423</v>
      </c>
      <c r="R33" s="21">
        <f t="shared" si="140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09"/>
        <v>1.0000085980182423</v>
      </c>
      <c r="Y33" s="21">
        <f t="shared" si="141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0"/>
        <v>1.0000062460092811</v>
      </c>
      <c r="AF33" s="21">
        <f t="shared" si="142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1"/>
        <v>1.0000126300336041</v>
      </c>
      <c r="AM33" s="21">
        <f t="shared" si="143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2"/>
        <v>1.0000023819945592</v>
      </c>
      <c r="AT33" s="21">
        <f t="shared" si="144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3"/>
        <v>1.0000013739907188</v>
      </c>
      <c r="BA33" s="21">
        <f t="shared" si="145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4"/>
        <v>1.0000065820105613</v>
      </c>
      <c r="BH33" s="21">
        <f t="shared" si="146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5"/>
        <v>1.0000029699967996</v>
      </c>
      <c r="BO33" s="21">
        <f t="shared" si="116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17"/>
        <v>1.0000121680318441</v>
      </c>
      <c r="BV33" s="21">
        <f t="shared" si="85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18"/>
        <v>1.0000072540131217</v>
      </c>
      <c r="CC33" s="21">
        <f t="shared" si="86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19"/>
        <v>1.0000114540291236</v>
      </c>
      <c r="CJ33" s="21">
        <f t="shared" si="87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0"/>
        <v>1.0000017099919989</v>
      </c>
      <c r="CQ33" s="21">
        <f t="shared" si="88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1"/>
        <v>1.0000017099919989</v>
      </c>
      <c r="CX33" s="21">
        <f t="shared" si="89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2"/>
        <v>1.0000012059900787</v>
      </c>
      <c r="DE33" s="21">
        <f t="shared" si="90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3"/>
        <v>1.0000036839995199</v>
      </c>
      <c r="DL33" s="21">
        <f t="shared" si="91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4"/>
        <v>1.0000032219977597</v>
      </c>
      <c r="DS33" s="21">
        <f t="shared" si="92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5"/>
        <v>1.0000051960052807</v>
      </c>
      <c r="DZ33" s="21">
        <f t="shared" si="93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6"/>
        <v>1.0000114120289636</v>
      </c>
      <c r="EG33" s="21">
        <f t="shared" si="94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27"/>
        <v>1.0000063720097612</v>
      </c>
      <c r="EN33" s="21">
        <f t="shared" si="95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28"/>
        <v>1.0000127560340841</v>
      </c>
      <c r="EU33" s="21">
        <f t="shared" si="96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29"/>
        <v>1.0000031589975196</v>
      </c>
      <c r="FB33" s="21">
        <f t="shared" si="97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0"/>
        <v>1.0000045660028802</v>
      </c>
      <c r="FI33" s="21">
        <f t="shared" si="98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1"/>
        <v>1.0000011219897587</v>
      </c>
      <c r="FP33" s="21">
        <f t="shared" si="99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2"/>
        <v>0.99999952598367792</v>
      </c>
      <c r="FW33" s="21">
        <f t="shared" si="100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3"/>
        <v>1.0000018359924789</v>
      </c>
      <c r="GD33" s="21">
        <f t="shared" si="101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4"/>
        <v>1.0000019199927992</v>
      </c>
      <c r="GK33" s="21">
        <f t="shared" si="102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5"/>
        <v>1.0000009329890385</v>
      </c>
      <c r="GR33" s="21">
        <f t="shared" si="103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6"/>
        <v>1.00000420900152</v>
      </c>
      <c r="GY33" s="21">
        <f t="shared" si="104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37"/>
        <v>1.0000110130274433</v>
      </c>
      <c r="HF33" s="21">
        <f t="shared" si="105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38"/>
        <v>1.0000017099919989</v>
      </c>
      <c r="HM33" s="21">
        <f t="shared" si="106"/>
        <v>2.2121337827246008</v>
      </c>
      <c r="HN33" s="5">
        <v>10</v>
      </c>
      <c r="HO33" s="3">
        <v>1.0000000000000001E-5</v>
      </c>
    </row>
    <row r="34" spans="1:223" ht="15.75" x14ac:dyDescent="0.25">
      <c r="A34" s="5">
        <v>18</v>
      </c>
      <c r="B34" s="5">
        <v>2.3665699999999998</v>
      </c>
      <c r="C34" s="5">
        <f t="shared" si="75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07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08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09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0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1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2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3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4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5"/>
        <v>1.0000029699967996</v>
      </c>
      <c r="BO34" s="21">
        <f t="shared" si="116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17"/>
        <v>1.0000121680318441</v>
      </c>
      <c r="BV34" s="21">
        <f t="shared" si="85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18"/>
        <v>1.0000072540131217</v>
      </c>
      <c r="CC34" s="21">
        <f t="shared" si="86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19"/>
        <v>1.0000114540291236</v>
      </c>
      <c r="CJ34" s="21">
        <f t="shared" si="87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0"/>
        <v>1.0000017099919989</v>
      </c>
      <c r="CQ34" s="21">
        <f t="shared" si="88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1"/>
        <v>1.0000017099919989</v>
      </c>
      <c r="CX34" s="21">
        <f t="shared" si="89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2"/>
        <v>1.0000012059900787</v>
      </c>
      <c r="DE34" s="21">
        <f t="shared" si="90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3"/>
        <v>1.0000036839995199</v>
      </c>
      <c r="DL34" s="21">
        <f t="shared" si="91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4"/>
        <v>1.0000032219977597</v>
      </c>
      <c r="DS34" s="21">
        <f t="shared" si="92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5"/>
        <v>1.0000051960052807</v>
      </c>
      <c r="DZ34" s="21">
        <f t="shared" si="93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6"/>
        <v>1.0000114120289636</v>
      </c>
      <c r="EG34" s="21">
        <f t="shared" si="94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27"/>
        <v>1.0000063720097612</v>
      </c>
      <c r="EN34" s="21">
        <f t="shared" si="95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28"/>
        <v>1.0000127560340841</v>
      </c>
      <c r="EU34" s="21">
        <f t="shared" si="96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29"/>
        <v>1.0000031589975196</v>
      </c>
      <c r="FB34" s="21">
        <f t="shared" si="97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0"/>
        <v>1.0000045660028802</v>
      </c>
      <c r="FI34" s="21">
        <f t="shared" si="98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1"/>
        <v>1.0000011219897587</v>
      </c>
      <c r="FP34" s="21">
        <f t="shared" si="99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2"/>
        <v>0.99999952598367792</v>
      </c>
      <c r="FW34" s="21">
        <f t="shared" si="100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3"/>
        <v>1.0000018359924789</v>
      </c>
      <c r="GD34" s="21">
        <f t="shared" si="101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4"/>
        <v>1.0000019199927992</v>
      </c>
      <c r="GK34" s="21">
        <f t="shared" si="102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5"/>
        <v>1.0000009329890385</v>
      </c>
      <c r="GR34" s="21">
        <f t="shared" si="103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6"/>
        <v>1.00000420900152</v>
      </c>
      <c r="GY34" s="21">
        <f t="shared" si="104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37"/>
        <v>1.0000110130274433</v>
      </c>
      <c r="HF34" s="21">
        <f t="shared" si="105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38"/>
        <v>1.0000017099919989</v>
      </c>
      <c r="HM34" s="21">
        <f t="shared" si="106"/>
        <v>2.3653640447466744</v>
      </c>
      <c r="HN34" s="5">
        <v>10</v>
      </c>
      <c r="HO34" s="3">
        <v>2.0000000000000002E-5</v>
      </c>
    </row>
    <row r="35" spans="1:223" ht="15.75" x14ac:dyDescent="0.25">
      <c r="A35" s="5">
        <v>19</v>
      </c>
      <c r="B35" s="5">
        <v>2.5247199999999999</v>
      </c>
      <c r="C35" s="5">
        <f t="shared" si="75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07"/>
        <v>1.0000070020121616</v>
      </c>
      <c r="K35" s="21">
        <f t="shared" si="139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08"/>
        <v>1.0000085980182423</v>
      </c>
      <c r="R35" s="21">
        <f t="shared" ref="R35:R37" si="147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09"/>
        <v>1.0000085980182423</v>
      </c>
      <c r="Y35" s="21">
        <f t="shared" ref="Y35:Y37" si="148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0"/>
        <v>1.0000062460092811</v>
      </c>
      <c r="AF35" s="21">
        <f t="shared" ref="AF35:AF37" si="149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1"/>
        <v>1.0000126300336041</v>
      </c>
      <c r="AM35" s="21">
        <f t="shared" ref="AM35:AM37" si="150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2"/>
        <v>1.0000023819945592</v>
      </c>
      <c r="AT35" s="21">
        <f t="shared" ref="AT35:AT37" si="151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3"/>
        <v>1.0000013739907188</v>
      </c>
      <c r="BA35" s="21">
        <f t="shared" ref="BA35:BA37" si="152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4"/>
        <v>1.0000065820105613</v>
      </c>
      <c r="BH35" s="21">
        <f t="shared" ref="BH35:BH37" si="153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5"/>
        <v>1.0000029699967996</v>
      </c>
      <c r="BO35" s="21">
        <f t="shared" si="116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17"/>
        <v>1.0000121680318441</v>
      </c>
      <c r="BV35" s="21">
        <f t="shared" si="85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18"/>
        <v>1.0000072540131217</v>
      </c>
      <c r="CC35" s="21">
        <f t="shared" si="86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19"/>
        <v>1.0000114540291236</v>
      </c>
      <c r="CJ35" s="21">
        <f t="shared" si="87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0"/>
        <v>1.0000017099919989</v>
      </c>
      <c r="CQ35" s="21">
        <f t="shared" si="88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1"/>
        <v>1.0000017099919989</v>
      </c>
      <c r="CX35" s="21">
        <f t="shared" si="89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2"/>
        <v>1.0000012059900787</v>
      </c>
      <c r="DE35" s="21">
        <f t="shared" si="90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3"/>
        <v>1.0000036839995199</v>
      </c>
      <c r="DL35" s="21">
        <f t="shared" si="91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4"/>
        <v>1.0000032219977597</v>
      </c>
      <c r="DS35" s="21">
        <f t="shared" si="92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5"/>
        <v>1.0000051960052807</v>
      </c>
      <c r="DZ35" s="21">
        <f t="shared" si="93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6"/>
        <v>1.0000114120289636</v>
      </c>
      <c r="EG35" s="21">
        <f t="shared" si="94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27"/>
        <v>1.0000063720097612</v>
      </c>
      <c r="EN35" s="21">
        <f t="shared" si="95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28"/>
        <v>1.0000127560340841</v>
      </c>
      <c r="EU35" s="21">
        <f t="shared" si="96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29"/>
        <v>1.0000031589975196</v>
      </c>
      <c r="FB35" s="21">
        <f t="shared" si="97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0"/>
        <v>1.0000045660028802</v>
      </c>
      <c r="FI35" s="21">
        <f t="shared" si="98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1"/>
        <v>1.0000011219897587</v>
      </c>
      <c r="FP35" s="21">
        <f t="shared" si="99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2"/>
        <v>0.99999952598367792</v>
      </c>
      <c r="FW35" s="21">
        <f t="shared" si="100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3"/>
        <v>1.0000018359924789</v>
      </c>
      <c r="GD35" s="21">
        <f t="shared" si="101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4"/>
        <v>1.0000019199927992</v>
      </c>
      <c r="GK35" s="21">
        <f t="shared" si="102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5"/>
        <v>1.0000009329890385</v>
      </c>
      <c r="GR35" s="21">
        <f t="shared" si="103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6"/>
        <v>1.00000420900152</v>
      </c>
      <c r="GY35" s="21">
        <f t="shared" si="104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37"/>
        <v>1.0000110130274433</v>
      </c>
      <c r="HF35" s="21">
        <f t="shared" si="105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38"/>
        <v>1.0000017099919989</v>
      </c>
      <c r="HM35" s="21">
        <f t="shared" si="106"/>
        <v>2.5224343133351179</v>
      </c>
      <c r="HN35" s="5">
        <v>10</v>
      </c>
      <c r="HO35" s="3">
        <v>2.0000000000000002E-5</v>
      </c>
    </row>
    <row r="36" spans="1:223" ht="15.75" x14ac:dyDescent="0.25">
      <c r="A36" s="5">
        <v>20</v>
      </c>
      <c r="B36" s="5">
        <v>2.67333</v>
      </c>
      <c r="C36" s="5">
        <f t="shared" si="75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07"/>
        <v>1.0000070020121616</v>
      </c>
      <c r="K36" s="21">
        <f t="shared" si="139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08"/>
        <v>1.0000085980182423</v>
      </c>
      <c r="R36" s="21">
        <f t="shared" si="147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09"/>
        <v>1.0000085980182423</v>
      </c>
      <c r="Y36" s="21">
        <f t="shared" si="148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0"/>
        <v>1.0000062460092811</v>
      </c>
      <c r="AF36" s="21">
        <f t="shared" si="149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1"/>
        <v>1.0000126300336041</v>
      </c>
      <c r="AM36" s="21">
        <f t="shared" si="150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2"/>
        <v>1.0000023819945592</v>
      </c>
      <c r="AT36" s="21">
        <f t="shared" si="151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3"/>
        <v>1.0000013739907188</v>
      </c>
      <c r="BA36" s="21">
        <f t="shared" si="152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4"/>
        <v>1.0000065820105613</v>
      </c>
      <c r="BH36" s="21">
        <f t="shared" si="153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5"/>
        <v>1.0000029699967996</v>
      </c>
      <c r="BO36" s="21">
        <f t="shared" si="116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17"/>
        <v>1.0000121680318441</v>
      </c>
      <c r="BV36" s="21">
        <f t="shared" si="85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18"/>
        <v>1.0000072540131217</v>
      </c>
      <c r="CC36" s="21">
        <f t="shared" si="86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19"/>
        <v>1.0000114540291236</v>
      </c>
      <c r="CJ36" s="21">
        <f t="shared" si="87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0"/>
        <v>1.0000017099919989</v>
      </c>
      <c r="CQ36" s="21">
        <f t="shared" si="88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1"/>
        <v>1.0000017099919989</v>
      </c>
      <c r="CX36" s="21">
        <f t="shared" si="89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2"/>
        <v>1.0000012059900787</v>
      </c>
      <c r="DE36" s="21">
        <f t="shared" si="90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3"/>
        <v>1.0000036839995199</v>
      </c>
      <c r="DL36" s="21">
        <f t="shared" si="91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4"/>
        <v>1.0000032219977597</v>
      </c>
      <c r="DS36" s="21">
        <f t="shared" si="92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5"/>
        <v>1.0000051960052807</v>
      </c>
      <c r="DZ36" s="21">
        <f t="shared" si="93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6"/>
        <v>1.0000114120289636</v>
      </c>
      <c r="EG36" s="21">
        <f t="shared" si="94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27"/>
        <v>1.0000063720097612</v>
      </c>
      <c r="EN36" s="21">
        <f t="shared" si="95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28"/>
        <v>1.0000127560340841</v>
      </c>
      <c r="EU36" s="21">
        <f t="shared" si="96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29"/>
        <v>1.0000031589975196</v>
      </c>
      <c r="FB36" s="21">
        <f t="shared" si="97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0"/>
        <v>1.0000045660028802</v>
      </c>
      <c r="FI36" s="21">
        <f t="shared" si="98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1"/>
        <v>1.0000011219897587</v>
      </c>
      <c r="FP36" s="21">
        <f t="shared" si="99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2"/>
        <v>0.99999952598367792</v>
      </c>
      <c r="FW36" s="21">
        <f t="shared" si="100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3"/>
        <v>1.0000018359924789</v>
      </c>
      <c r="GD36" s="21">
        <f t="shared" si="101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4"/>
        <v>1.0000019199927992</v>
      </c>
      <c r="GK36" s="21">
        <f t="shared" si="102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5"/>
        <v>1.0000009329890385</v>
      </c>
      <c r="GR36" s="21">
        <f t="shared" si="103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6"/>
        <v>1.00000420900152</v>
      </c>
      <c r="GY36" s="21">
        <f t="shared" si="104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37"/>
        <v>1.0000110130274433</v>
      </c>
      <c r="HF36" s="21">
        <f t="shared" si="105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38"/>
        <v>1.0000017099919989</v>
      </c>
      <c r="HM36" s="21">
        <f t="shared" si="106"/>
        <v>2.6710245674228288</v>
      </c>
      <c r="HN36" s="5">
        <v>10</v>
      </c>
      <c r="HO36" s="3">
        <v>2.0000000000000002E-5</v>
      </c>
    </row>
    <row r="37" spans="1:223" ht="15.75" x14ac:dyDescent="0.25">
      <c r="A37" s="5">
        <v>21</v>
      </c>
      <c r="B37" s="5">
        <v>2.8830399999999998</v>
      </c>
      <c r="C37" s="5">
        <f t="shared" si="75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07"/>
        <v>1.0000070020121616</v>
      </c>
      <c r="K37" s="21">
        <f t="shared" si="139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08"/>
        <v>1.0000085980182423</v>
      </c>
      <c r="R37" s="21">
        <f t="shared" si="147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09"/>
        <v>1.0000085980182423</v>
      </c>
      <c r="Y37" s="21">
        <f t="shared" si="148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0"/>
        <v>1.0000062460092811</v>
      </c>
      <c r="AF37" s="21">
        <f t="shared" si="149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1"/>
        <v>1.0000126300336041</v>
      </c>
      <c r="AM37" s="21">
        <f t="shared" si="150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2"/>
        <v>1.0000023819945592</v>
      </c>
      <c r="AT37" s="21">
        <f t="shared" si="151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3"/>
        <v>1.0000013739907188</v>
      </c>
      <c r="BA37" s="21">
        <f t="shared" si="152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4"/>
        <v>1.0000065820105613</v>
      </c>
      <c r="BH37" s="21">
        <f t="shared" si="153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5"/>
        <v>1.0000029699967996</v>
      </c>
      <c r="BO37" s="21">
        <f t="shared" si="116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17"/>
        <v>1.0000121680318441</v>
      </c>
      <c r="BV37" s="21">
        <f t="shared" si="85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18"/>
        <v>1.0000072540131217</v>
      </c>
      <c r="CC37" s="21">
        <f t="shared" si="86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19"/>
        <v>1.0000114540291236</v>
      </c>
      <c r="CJ37" s="21">
        <f t="shared" si="87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0"/>
        <v>1.0000017099919989</v>
      </c>
      <c r="CQ37" s="21">
        <f t="shared" si="88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1"/>
        <v>1.0000017099919989</v>
      </c>
      <c r="CX37" s="21">
        <f t="shared" si="89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2"/>
        <v>1.0000012059900787</v>
      </c>
      <c r="DE37" s="21">
        <f t="shared" si="90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3"/>
        <v>1.0000036839995199</v>
      </c>
      <c r="DL37" s="21">
        <f t="shared" si="91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4"/>
        <v>1.0000032219977597</v>
      </c>
      <c r="DS37" s="21">
        <f t="shared" si="92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5"/>
        <v>1.0000051960052807</v>
      </c>
      <c r="DZ37" s="21">
        <f t="shared" si="93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6"/>
        <v>1.0000114120289636</v>
      </c>
      <c r="EG37" s="21">
        <f t="shared" si="94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27"/>
        <v>1.0000063720097612</v>
      </c>
      <c r="EN37" s="21">
        <f t="shared" si="95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28"/>
        <v>1.0000127560340841</v>
      </c>
      <c r="EU37" s="21">
        <f t="shared" si="96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29"/>
        <v>1.0000031589975196</v>
      </c>
      <c r="FB37" s="21">
        <f t="shared" si="97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98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1"/>
        <v>1.0000011219897587</v>
      </c>
      <c r="FP37" s="21">
        <f t="shared" si="99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2"/>
        <v>0.99999952598367792</v>
      </c>
      <c r="FW37" s="21">
        <f t="shared" si="100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3"/>
        <v>1.0000018359924789</v>
      </c>
      <c r="GD37" s="21">
        <f t="shared" si="101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4"/>
        <v>1.0000019199927992</v>
      </c>
      <c r="GK37" s="21">
        <f t="shared" si="102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5"/>
        <v>1.0000009329890385</v>
      </c>
      <c r="GR37" s="21">
        <f t="shared" si="103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6"/>
        <v>1.00000420900152</v>
      </c>
      <c r="GY37" s="21">
        <f t="shared" si="104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37"/>
        <v>1.0000110130274433</v>
      </c>
      <c r="HF37" s="21">
        <f t="shared" si="105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38"/>
        <v>1.0000017099919989</v>
      </c>
      <c r="HM37" s="21">
        <f t="shared" si="106"/>
        <v>2.8806649259055517</v>
      </c>
      <c r="HN37" s="5">
        <v>10</v>
      </c>
      <c r="HO37" s="3">
        <v>2.0000000000000002E-5</v>
      </c>
    </row>
    <row r="39" spans="1:223" x14ac:dyDescent="0.2">
      <c r="K39" s="15"/>
      <c r="CH39" s="15"/>
    </row>
    <row r="40" spans="1:223" x14ac:dyDescent="0.2">
      <c r="CH40" s="15"/>
    </row>
    <row r="41" spans="1:223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44">
        <v>26909</v>
      </c>
      <c r="B2" s="144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29" priority="21" operator="lessThanOrEqual">
      <formula>-0.0001</formula>
    </cfRule>
    <cfRule type="cellIs" dxfId="28" priority="22" operator="greaterThanOrEqual">
      <formula>0.0001</formula>
    </cfRule>
  </conditionalFormatting>
  <conditionalFormatting sqref="I76:I105 J76:U95">
    <cfRule type="cellIs" dxfId="27" priority="17" operator="lessThanOrEqual">
      <formula>-0.0001</formula>
    </cfRule>
    <cfRule type="cellIs" dxfId="26" priority="18" operator="greaterThanOrEqual">
      <formula>0.0001</formula>
    </cfRule>
  </conditionalFormatting>
  <conditionalFormatting sqref="T53:Z71">
    <cfRule type="cellIs" dxfId="25" priority="15" operator="lessThanOrEqual">
      <formula>-0.0001</formula>
    </cfRule>
    <cfRule type="cellIs" dxfId="24" priority="16" operator="greaterThanOrEqual">
      <formula>0.0001</formula>
    </cfRule>
  </conditionalFormatting>
  <conditionalFormatting sqref="I28:R47">
    <cfRule type="cellIs" dxfId="23" priority="13" operator="lessThanOrEqual">
      <formula>-0.0001</formula>
    </cfRule>
    <cfRule type="cellIs" dxfId="22" priority="14" operator="greaterThanOrEqual">
      <formula>0.0001</formula>
    </cfRule>
  </conditionalFormatting>
  <conditionalFormatting sqref="S28:S47">
    <cfRule type="cellIs" dxfId="21" priority="11" operator="lessThanOrEqual">
      <formula>-0.0001</formula>
    </cfRule>
    <cfRule type="cellIs" dxfId="20" priority="12" operator="greaterThanOrEqual">
      <formula>0.0001</formula>
    </cfRule>
  </conditionalFormatting>
  <conditionalFormatting sqref="Q52:R71">
    <cfRule type="cellIs" dxfId="19" priority="9" operator="lessThanOrEqual">
      <formula>-0.0001</formula>
    </cfRule>
    <cfRule type="cellIs" dxfId="18" priority="10" operator="greaterThanOrEqual">
      <formula>0.0001</formula>
    </cfRule>
  </conditionalFormatting>
  <conditionalFormatting sqref="S52:S71">
    <cfRule type="cellIs" dxfId="17" priority="7" operator="lessThanOrEqual">
      <formula>-0.0001</formula>
    </cfRule>
    <cfRule type="cellIs" dxfId="16" priority="8" operator="greaterThanOrEqual">
      <formula>0.0001</formula>
    </cfRule>
  </conditionalFormatting>
  <conditionalFormatting sqref="B28:H47">
    <cfRule type="cellIs" dxfId="15" priority="5" operator="lessThanOrEqual">
      <formula>-0.0001</formula>
    </cfRule>
    <cfRule type="cellIs" dxfId="14" priority="6" operator="greaterThanOrEqual">
      <formula>0.0001</formula>
    </cfRule>
  </conditionalFormatting>
  <conditionalFormatting sqref="B52:H71">
    <cfRule type="cellIs" dxfId="13" priority="3" operator="lessThanOrEqual">
      <formula>-0.0001</formula>
    </cfRule>
    <cfRule type="cellIs" dxfId="12" priority="4" operator="greaterThanOrEqual">
      <formula>0.0001</formula>
    </cfRule>
  </conditionalFormatting>
  <conditionalFormatting sqref="B76:H95">
    <cfRule type="cellIs" dxfId="11" priority="1" operator="lessThanOrEqual">
      <formula>-0.0001</formula>
    </cfRule>
    <cfRule type="cellIs" dxfId="10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tabSelected="1"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9" priority="13" operator="lessThanOrEqual">
      <formula>-0.0001</formula>
    </cfRule>
    <cfRule type="cellIs" dxfId="8" priority="14" operator="greaterThanOrEqual">
      <formula>0.0001</formula>
    </cfRule>
  </conditionalFormatting>
  <conditionalFormatting sqref="I72:I80">
    <cfRule type="cellIs" dxfId="7" priority="11" operator="lessThanOrEqual">
      <formula>-0.0001</formula>
    </cfRule>
    <cfRule type="cellIs" dxfId="6" priority="12" operator="greaterThanOrEqual">
      <formula>0.0001</formula>
    </cfRule>
  </conditionalFormatting>
  <conditionalFormatting sqref="AO27:AP46">
    <cfRule type="cellIs" dxfId="5" priority="5" operator="lessThanOrEqual">
      <formula>-0.0001</formula>
    </cfRule>
    <cfRule type="cellIs" dxfId="4" priority="6" operator="greaterThanOrEqual">
      <formula>0.0001</formula>
    </cfRule>
  </conditionalFormatting>
  <conditionalFormatting sqref="AQ27:AQ46">
    <cfRule type="cellIs" dxfId="3" priority="3" operator="lessThanOrEqual">
      <formula>-0.0001</formula>
    </cfRule>
    <cfRule type="cellIs" dxfId="2" priority="4" operator="greaterThanOrEqual">
      <formula>0.0001</formula>
    </cfRule>
  </conditionalFormatting>
  <conditionalFormatting sqref="B27:H46">
    <cfRule type="cellIs" dxfId="1" priority="1" operator="lessThanOrEqual">
      <formula>-0.0001</formula>
    </cfRule>
    <cfRule type="cellIs" dxfId="0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A12"/>
  <sheetViews>
    <sheetView workbookViewId="0">
      <selection activeCell="M19" sqref="M19"/>
    </sheetView>
  </sheetViews>
  <sheetFormatPr defaultRowHeight="15" x14ac:dyDescent="0.2"/>
  <sheetData>
    <row r="1" spans="1:1" x14ac:dyDescent="0.2">
      <c r="A1" s="138"/>
    </row>
    <row r="2" spans="1:1" x14ac:dyDescent="0.2">
      <c r="A2" s="138"/>
    </row>
    <row r="3" spans="1:1" x14ac:dyDescent="0.2">
      <c r="A3" s="138"/>
    </row>
    <row r="4" spans="1:1" x14ac:dyDescent="0.2">
      <c r="A4" s="138"/>
    </row>
    <row r="5" spans="1:1" x14ac:dyDescent="0.2">
      <c r="A5" s="138"/>
    </row>
    <row r="6" spans="1:1" x14ac:dyDescent="0.2">
      <c r="A6" s="138"/>
    </row>
    <row r="7" spans="1:1" x14ac:dyDescent="0.2">
      <c r="A7" s="138"/>
    </row>
    <row r="8" spans="1:1" x14ac:dyDescent="0.2">
      <c r="A8" s="138"/>
    </row>
    <row r="9" spans="1:1" x14ac:dyDescent="0.2">
      <c r="A9" s="138"/>
    </row>
    <row r="10" spans="1:1" x14ac:dyDescent="0.2">
      <c r="A10" s="138"/>
    </row>
    <row r="11" spans="1:1" x14ac:dyDescent="0.2">
      <c r="A11" s="138"/>
    </row>
    <row r="12" spans="1:1" x14ac:dyDescent="0.2">
      <c r="A12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7" ma:contentTypeDescription="Create a new document." ma:contentTypeScope="" ma:versionID="665df7c102a6453017284e808f064cd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b6948d30eeb913f8a2aed19dec3d39fe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Outcom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Outcome" ma:index="23" nillable="true" ma:displayName="Outcome" ma:default="Enter Choice #1" ma:internalName="Outcome">
      <xsd:simpleType>
        <xsd:restriction base="dms:Unknown">
          <xsd:enumeration value="Enter Choice #1"/>
          <xsd:enumeration value="Enter Choice #2"/>
          <xsd:enumeration value="Enter Choice #3"/>
        </xsd:restriction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45fe360-0b8b-4d96-b293-07daf5a519e5">
      <Terms xmlns="http://schemas.microsoft.com/office/infopath/2007/PartnerControls"/>
    </lcf76f155ced4ddcb4097134ff3c332f>
    <Outcome xmlns="b45fe360-0b8b-4d96-b293-07daf5a519e5">Enter Choice #1</Outcome>
    <TaxCatchAll xmlns="e918e316-8ebf-402b-8dc9-510f44632d57" xsi:nil="true"/>
  </documentManagement>
</p:properties>
</file>

<file path=customXml/itemProps1.xml><?xml version="1.0" encoding="utf-8"?>
<ds:datastoreItem xmlns:ds="http://schemas.openxmlformats.org/officeDocument/2006/customXml" ds:itemID="{E45C2F22-64E1-43E4-83FF-1D1122E580A4}"/>
</file>

<file path=customXml/itemProps2.xml><?xml version="1.0" encoding="utf-8"?>
<ds:datastoreItem xmlns:ds="http://schemas.openxmlformats.org/officeDocument/2006/customXml" ds:itemID="{47760007-5B03-414B-B16A-520B0DDF3F32}"/>
</file>

<file path=customXml/itemProps3.xml><?xml version="1.0" encoding="utf-8"?>
<ds:datastoreItem xmlns:ds="http://schemas.openxmlformats.org/officeDocument/2006/customXml" ds:itemID="{70F357A7-C0F6-40F9-82EF-58074DC386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27690</vt:lpstr>
      <vt:lpstr>26296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2021-06-16T08:11:39Z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0x010100DDA604CBE7B14B4BBD6F331956CF5244</vt:lpwstr>
  </property>
</Properties>
</file>