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VANESSA\CALIBRATIONS\BOYA_RANGE\2021_BOYA_RANGE_CALIBRATION\20211007-VU\"/>
    </mc:Choice>
  </mc:AlternateContent>
  <xr:revisionPtr revIDLastSave="0" documentId="13_ncr:1_{7424B433-73FF-415A-B88E-66AAB9645E4F}" xr6:coauthVersionLast="47" xr6:coauthVersionMax="47" xr10:uidLastSave="{00000000-0000-0000-0000-000000000000}"/>
  <bookViews>
    <workbookView xWindow="-120" yWindow="-120" windowWidth="29040" windowHeight="15840" tabRatio="907" firstSheet="1" activeTab="16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26296_79918 (2)" sheetId="22" r:id="rId17"/>
    <sheet name="Sheet5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8" i="22" l="1" a="1"/>
  <c r="K28" i="22" s="1"/>
  <c r="Q82" i="22"/>
  <c r="Q81" i="22"/>
  <c r="Q80" i="22"/>
  <c r="Q79" i="22"/>
  <c r="Q78" i="22"/>
  <c r="Q77" i="22"/>
  <c r="Q76" i="22"/>
  <c r="Q75" i="22"/>
  <c r="Q74" i="22"/>
  <c r="Q73" i="22"/>
  <c r="Q72" i="22"/>
  <c r="Q71" i="22"/>
  <c r="Q70" i="22"/>
  <c r="Q69" i="22"/>
  <c r="Q68" i="22"/>
  <c r="Q67" i="22"/>
  <c r="Q66" i="22"/>
  <c r="Q65" i="22"/>
  <c r="Q64" i="22"/>
  <c r="Q63" i="22"/>
  <c r="T59" i="22"/>
  <c r="S59" i="22"/>
  <c r="R59" i="22"/>
  <c r="Q59" i="22"/>
  <c r="T58" i="22"/>
  <c r="S58" i="22"/>
  <c r="R58" i="22"/>
  <c r="Q58" i="22"/>
  <c r="T57" i="22"/>
  <c r="S57" i="22"/>
  <c r="R57" i="22"/>
  <c r="Q57" i="22"/>
  <c r="T56" i="22"/>
  <c r="S56" i="22"/>
  <c r="R56" i="22"/>
  <c r="Q56" i="22"/>
  <c r="T55" i="22"/>
  <c r="S55" i="22"/>
  <c r="R55" i="22"/>
  <c r="Q55" i="22"/>
  <c r="T54" i="22"/>
  <c r="S54" i="22"/>
  <c r="R54" i="22"/>
  <c r="Q54" i="22"/>
  <c r="T53" i="22"/>
  <c r="S53" i="22"/>
  <c r="R53" i="22"/>
  <c r="Q53" i="22"/>
  <c r="T52" i="22"/>
  <c r="S52" i="22"/>
  <c r="R52" i="22"/>
  <c r="Q52" i="22"/>
  <c r="T51" i="22"/>
  <c r="S51" i="22"/>
  <c r="R51" i="22"/>
  <c r="Q51" i="22"/>
  <c r="T50" i="22"/>
  <c r="S50" i="22"/>
  <c r="R50" i="22"/>
  <c r="Q50" i="22"/>
  <c r="T49" i="22"/>
  <c r="S49" i="22"/>
  <c r="R49" i="22"/>
  <c r="Q49" i="22"/>
  <c r="T48" i="22"/>
  <c r="S48" i="22"/>
  <c r="R48" i="22"/>
  <c r="Q48" i="22"/>
  <c r="T47" i="22"/>
  <c r="S47" i="22"/>
  <c r="R47" i="22"/>
  <c r="Q47" i="22"/>
  <c r="T46" i="22"/>
  <c r="S46" i="22"/>
  <c r="R46" i="22"/>
  <c r="Q46" i="22"/>
  <c r="T45" i="22"/>
  <c r="S45" i="22"/>
  <c r="R45" i="22"/>
  <c r="Q45" i="22"/>
  <c r="T44" i="22"/>
  <c r="S44" i="22"/>
  <c r="R44" i="22"/>
  <c r="Q44" i="22"/>
  <c r="T43" i="22"/>
  <c r="S43" i="22"/>
  <c r="R43" i="22"/>
  <c r="Q43" i="22"/>
  <c r="T42" i="22"/>
  <c r="S42" i="22"/>
  <c r="R42" i="22"/>
  <c r="Q42" i="22"/>
  <c r="T41" i="22"/>
  <c r="S41" i="22"/>
  <c r="R41" i="22"/>
  <c r="Q41" i="22"/>
  <c r="T40" i="22"/>
  <c r="S40" i="22"/>
  <c r="R40" i="22"/>
  <c r="Q40" i="22"/>
  <c r="T39" i="22"/>
  <c r="S39" i="22"/>
  <c r="R39" i="22"/>
  <c r="Q39" i="22"/>
  <c r="T38" i="22"/>
  <c r="S38" i="22"/>
  <c r="R38" i="22"/>
  <c r="Q38" i="22"/>
  <c r="T37" i="22"/>
  <c r="S37" i="22"/>
  <c r="R37" i="22"/>
  <c r="Q37" i="22"/>
  <c r="T36" i="22"/>
  <c r="S36" i="22"/>
  <c r="R36" i="22"/>
  <c r="Q36" i="22"/>
  <c r="T35" i="22"/>
  <c r="S35" i="22"/>
  <c r="R35" i="22"/>
  <c r="Q35" i="22"/>
  <c r="T34" i="22"/>
  <c r="S34" i="22"/>
  <c r="R34" i="22"/>
  <c r="Q34" i="22"/>
  <c r="T33" i="22"/>
  <c r="S33" i="22"/>
  <c r="R33" i="22"/>
  <c r="Q33" i="22"/>
  <c r="T32" i="22"/>
  <c r="S32" i="22"/>
  <c r="R32" i="22"/>
  <c r="Q32" i="22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<sst xmlns="http://schemas.openxmlformats.org/spreadsheetml/2006/main" count="1776" uniqueCount="447">
  <si>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</si>
  <si>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</si>
  <si>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</si>
  <si>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</si>
  <si>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</si>
  <si>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</si>
  <si>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</si>
  <si>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</si>
  <si>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</si>
  <si>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</si>
  <si>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</si>
  <si>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</si>
  <si>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</si>
  <si>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</si>
  <si>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</si>
  <si>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</si>
  <si>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</si>
  <si>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</si>
  <si>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</si>
  <si>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</si>
  <si>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</si>
  <si>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</si>
  <si>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</si>
  <si>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</si>
  <si>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</si>
  <si>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</si>
  <si>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</si>
  <si>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</si>
  <si>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</si>
  <si>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</si>
  <si>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</si>
  <si>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</si>
  <si>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</si>
  <si>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</si>
  <si>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</si>
  <si>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</si>
  <si>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</si>
  <si>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</si>
  <si>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</si>
  <si>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</si>
  <si>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</si>
  <si>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</si>
  <si>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</si>
  <si>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</si>
  <si>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</si>
  <si>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</si>
  <si>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</si>
  <si>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</si>
  <si>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</si>
  <si>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</si>
  <si>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</si>
  <si>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</si>
  <si>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</si>
  <si>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</si>
  <si>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</si>
  <si>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</si>
  <si>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</si>
  <si>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</si>
  <si>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</si>
  <si>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</si>
  <si>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</si>
  <si>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</si>
  <si>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</si>
  <si>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</si>
  <si>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</si>
  <si>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</si>
  <si>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</si>
  <si>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</si>
  <si>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</si>
  <si>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</si>
  <si>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</si>
  <si>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</si>
  <si>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</si>
  <si>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</si>
  <si>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</si>
  <si>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</si>
  <si>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</si>
  <si>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</si>
  <si>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</si>
  <si>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</si>
  <si>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</si>
  <si>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</si>
  <si>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</si>
  <si>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</si>
  <si>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</si>
  <si>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</si>
  <si>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</si>
  <si>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</si>
  <si>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</si>
  <si>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</si>
  <si>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</si>
  <si>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</si>
  <si>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</si>
  <si>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</si>
  <si>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</si>
  <si>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</si>
  <si>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</si>
  <si>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</si>
  <si>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</si>
  <si>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</si>
  <si>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</si>
  <si>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</si>
  <si>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</si>
  <si>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</si>
  <si>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</si>
  <si>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</si>
  <si>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</si>
  <si>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</si>
  <si>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</si>
  <si>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</si>
  <si>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</si>
  <si>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</si>
  <si>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</si>
  <si>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</si>
  <si>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</si>
  <si>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</si>
  <si>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</si>
  <si>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</si>
  <si>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</si>
  <si>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</si>
  <si>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</si>
  <si>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</si>
  <si>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</si>
  <si>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</si>
  <si>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</si>
  <si>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</si>
  <si>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</si>
  <si>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</si>
  <si>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</si>
  <si>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</si>
  <si>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</si>
  <si>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</si>
  <si>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</si>
  <si>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</si>
  <si>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</si>
  <si>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</si>
  <si>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</si>
  <si>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</si>
  <si>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</si>
  <si>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</si>
  <si>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</si>
  <si>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</si>
  <si>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</si>
  <si>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</si>
  <si>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</si>
  <si>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</si>
  <si>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</si>
  <si>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</si>
  <si>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</si>
  <si>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</si>
  <si>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</si>
  <si>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</si>
  <si>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</si>
  <si>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</si>
  <si>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</si>
  <si>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</si>
  <si>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</si>
  <si>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</si>
  <si>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</si>
  <si>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</si>
  <si>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</si>
  <si>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</si>
  <si>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</si>
  <si>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</si>
  <si>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</si>
  <si>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</si>
  <si>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</si>
  <si>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</si>
  <si>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</si>
  <si>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</si>
  <si>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</si>
  <si>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</si>
  <si>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</si>
  <si>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</si>
  <si>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</si>
  <si>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</si>
  <si>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</si>
  <si>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</si>
  <si>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</si>
  <si>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</si>
  <si>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</si>
  <si>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</si>
  <si>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</si>
  <si>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</si>
  <si>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</si>
  <si>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</si>
  <si>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</si>
  <si>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</si>
  <si>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</si>
  <si>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</si>
  <si>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</si>
  <si>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</si>
  <si>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</si>
  <si>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</si>
  <si>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</si>
  <si>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</si>
  <si>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</si>
  <si>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</si>
  <si>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</si>
  <si>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</si>
  <si>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</si>
  <si>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</si>
  <si>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</si>
  <si>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</si>
  <si>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</si>
  <si>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</si>
  <si>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</si>
  <si>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</si>
  <si>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</si>
  <si>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</si>
  <si>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</si>
  <si>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</si>
  <si>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</si>
  <si>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</si>
  <si>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</si>
  <si>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</si>
  <si>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</si>
  <si>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</si>
  <si>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</si>
  <si>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</si>
  <si>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</si>
  <si>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</si>
  <si>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</si>
  <si>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</si>
  <si>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</si>
  <si>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</si>
  <si>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</si>
  <si>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</si>
  <si>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</si>
  <si>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</si>
  <si>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</si>
  <si>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</si>
  <si>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</si>
  <si>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</si>
  <si>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</si>
  <si>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</si>
  <si>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</si>
  <si>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</si>
  <si>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</si>
  <si>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</si>
  <si>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</si>
  <si>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</si>
  <si>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</si>
  <si>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</si>
  <si>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</si>
  <si>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</si>
  <si>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</si>
  <si>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</si>
  <si>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</si>
  <si>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</si>
  <si>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</si>
  <si>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</si>
  <si>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</si>
  <si>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</si>
  <si>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</si>
  <si>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</si>
  <si>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</si>
  <si>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</si>
  <si>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</si>
  <si>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</si>
  <si>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</si>
  <si>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</si>
  <si>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</si>
  <si>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</si>
  <si>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</si>
  <si>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</si>
  <si>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</si>
  <si>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</si>
  <si>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</si>
  <si>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</si>
  <si>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</si>
  <si>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</si>
  <si>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</si>
  <si>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</si>
  <si>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</si>
  <si>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</si>
  <si>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</si>
  <si>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</si>
  <si>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</si>
  <si>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</si>
  <si>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</si>
  <si>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</si>
  <si>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</si>
  <si>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</si>
  <si>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</si>
  <si>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</si>
  <si>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</si>
  <si>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</si>
  <si>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</si>
  <si>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</si>
  <si>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</si>
  <si>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</si>
  <si>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</si>
  <si>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</si>
  <si>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</si>
  <si>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</si>
  <si>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</si>
  <si>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</si>
  <si>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</si>
  <si>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</si>
  <si>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</si>
  <si>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</si>
  <si>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</si>
  <si>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</si>
  <si>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</si>
  <si>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</si>
  <si>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</si>
  <si>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</si>
  <si>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</si>
  <si>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</si>
  <si>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</si>
  <si>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</si>
  <si>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</si>
  <si>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</si>
  <si>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</si>
  <si>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</si>
  <si>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</si>
  <si>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</si>
  <si>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</si>
  <si>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</si>
  <si>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</si>
  <si>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</si>
  <si>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</si>
  <si>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</si>
  <si>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</si>
  <si>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</si>
  <si>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</si>
  <si>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</si>
  <si>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</si>
  <si>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</si>
  <si>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</si>
  <si>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</si>
  <si>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</si>
  <si>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</si>
  <si>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</si>
  <si>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</si>
  <si>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</si>
  <si>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</si>
  <si>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</si>
  <si>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</si>
  <si>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</si>
  <si>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</si>
  <si>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</si>
  <si>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</si>
  <si>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</si>
  <si>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</si>
  <si>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</si>
  <si>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</si>
  <si>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</si>
  <si>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</si>
  <si>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</si>
  <si>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</si>
  <si>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</si>
  <si>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</si>
  <si>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</si>
  <si>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</si>
  <si>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</si>
  <si>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</si>
  <si>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</si>
  <si>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</si>
  <si>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</si>
  <si>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</si>
  <si>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</si>
  <si>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</si>
  <si>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</si>
  <si>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</si>
  <si>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</si>
  <si>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</si>
  <si>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</si>
  <si>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</si>
  <si>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</si>
  <si>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</si>
  <si>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</si>
  <si>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</si>
  <si>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</si>
  <si>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</si>
  <si>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</si>
  <si>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</si>
  <si>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</si>
  <si>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</si>
  <si>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</si>
  <si>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</si>
  <si>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</si>
  <si>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</si>
  <si>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</si>
  <si>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</si>
  <si>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</si>
  <si>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</si>
  <si>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</si>
  <si>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</si>
  <si>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</si>
  <si>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</si>
  <si>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</si>
  <si>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</si>
  <si>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</si>
  <si>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</si>
  <si>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</si>
  <si>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</si>
  <si>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</si>
  <si>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</si>
  <si>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</si>
  <si>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</si>
  <si>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</si>
  <si>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</si>
  <si>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</si>
  <si>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</si>
  <si>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</si>
  <si>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</si>
  <si>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</si>
  <si>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</si>
  <si>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</si>
  <si>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</si>
  <si>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</si>
  <si>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</si>
  <si>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</si>
  <si>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</si>
  <si>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</si>
  <si>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</si>
  <si>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</si>
  <si>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</si>
  <si>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</si>
  <si>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</si>
  <si>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</si>
  <si>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</si>
  <si>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</si>
  <si>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</si>
  <si>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</si>
  <si>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</si>
  <si>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</si>
  <si>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</si>
  <si>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</si>
  <si>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</si>
  <si>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</si>
  <si>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</si>
  <si>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</si>
  <si>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</si>
  <si>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</si>
  <si>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</si>
  <si>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</si>
  <si>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</si>
  <si>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</si>
  <si>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</si>
  <si>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</si>
  <si>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</si>
  <si>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</si>
  <si>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</si>
  <si>
    <t>∆ Oct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</si>
</sst>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9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 wrapText="1"/>
    </xf>
    <xf numFmtId="0" fontId="18" fillId="7" borderId="25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8" fillId="7" borderId="28" xfId="0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5">
        <v>27690</v>
      </c>
      <c r="B2" s="155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5">
        <v>26296</v>
      </c>
      <c r="B1" s="155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5">
        <v>26909</v>
      </c>
      <c r="B2" s="155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53" priority="21" operator="lessThanOrEqual">
      <formula>-0.0001</formula>
    </cfRule>
    <cfRule type="cellIs" dxfId="52" priority="22" operator="greaterThanOrEqual">
      <formula>0.0001</formula>
    </cfRule>
  </conditionalFormatting>
  <conditionalFormatting sqref="I76:I105 J76:U95">
    <cfRule type="cellIs" dxfId="51" priority="17" operator="lessThanOrEqual">
      <formula>-0.0001</formula>
    </cfRule>
    <cfRule type="cellIs" dxfId="50" priority="18" operator="greaterThanOrEqual">
      <formula>0.0001</formula>
    </cfRule>
  </conditionalFormatting>
  <conditionalFormatting sqref="T53:Z71">
    <cfRule type="cellIs" dxfId="49" priority="15" operator="lessThanOrEqual">
      <formula>-0.0001</formula>
    </cfRule>
    <cfRule type="cellIs" dxfId="48" priority="16" operator="greaterThanOrEqual">
      <formula>0.0001</formula>
    </cfRule>
  </conditionalFormatting>
  <conditionalFormatting sqref="I28:R47">
    <cfRule type="cellIs" dxfId="47" priority="13" operator="lessThanOrEqual">
      <formula>-0.0001</formula>
    </cfRule>
    <cfRule type="cellIs" dxfId="46" priority="14" operator="greaterThanOrEqual">
      <formula>0.0001</formula>
    </cfRule>
  </conditionalFormatting>
  <conditionalFormatting sqref="S28:S47">
    <cfRule type="cellIs" dxfId="45" priority="11" operator="lessThanOrEqual">
      <formula>-0.0001</formula>
    </cfRule>
    <cfRule type="cellIs" dxfId="44" priority="12" operator="greaterThanOrEqual">
      <formula>0.0001</formula>
    </cfRule>
  </conditionalFormatting>
  <conditionalFormatting sqref="Q52:R71">
    <cfRule type="cellIs" dxfId="43" priority="9" operator="lessThanOrEqual">
      <formula>-0.0001</formula>
    </cfRule>
    <cfRule type="cellIs" dxfId="42" priority="10" operator="greaterThanOrEqual">
      <formula>0.0001</formula>
    </cfRule>
  </conditionalFormatting>
  <conditionalFormatting sqref="S52:S71">
    <cfRule type="cellIs" dxfId="41" priority="7" operator="lessThanOrEqual">
      <formula>-0.0001</formula>
    </cfRule>
    <cfRule type="cellIs" dxfId="40" priority="8" operator="greaterThanOrEqual">
      <formula>0.0001</formula>
    </cfRule>
  </conditionalFormatting>
  <conditionalFormatting sqref="B28:H47">
    <cfRule type="cellIs" dxfId="39" priority="5" operator="lessThanOrEqual">
      <formula>-0.0001</formula>
    </cfRule>
    <cfRule type="cellIs" dxfId="38" priority="6" operator="greaterThanOrEqual">
      <formula>0.0001</formula>
    </cfRule>
  </conditionalFormatting>
  <conditionalFormatting sqref="B52:H71">
    <cfRule type="cellIs" dxfId="37" priority="3" operator="lessThanOrEqual">
      <formula>-0.0001</formula>
    </cfRule>
    <cfRule type="cellIs" dxfId="36" priority="4" operator="greaterThanOrEqual">
      <formula>0.0001</formula>
    </cfRule>
  </conditionalFormatting>
  <conditionalFormatting sqref="B76:H95">
    <cfRule type="cellIs" dxfId="35" priority="1" operator="lessThanOrEqual">
      <formula>-0.0001</formula>
    </cfRule>
    <cfRule type="cellIs" dxfId="34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33" priority="13" operator="lessThanOrEqual">
      <formula>-0.0001</formula>
    </cfRule>
    <cfRule type="cellIs" dxfId="32" priority="14" operator="greaterThanOrEqual">
      <formula>0.0001</formula>
    </cfRule>
  </conditionalFormatting>
  <conditionalFormatting sqref="I72:I80">
    <cfRule type="cellIs" dxfId="31" priority="11" operator="lessThanOrEqual">
      <formula>-0.0001</formula>
    </cfRule>
    <cfRule type="cellIs" dxfId="30" priority="12" operator="greaterThanOrEqual">
      <formula>0.0001</formula>
    </cfRule>
  </conditionalFormatting>
  <conditionalFormatting sqref="AO27:AP46">
    <cfRule type="cellIs" dxfId="29" priority="5" operator="lessThanOrEqual">
      <formula>-0.0001</formula>
    </cfRule>
    <cfRule type="cellIs" dxfId="28" priority="6" operator="greaterThanOrEqual">
      <formula>0.0001</formula>
    </cfRule>
  </conditionalFormatting>
  <conditionalFormatting sqref="AQ27:AQ46">
    <cfRule type="cellIs" dxfId="27" priority="3" operator="lessThanOrEqual">
      <formula>-0.0001</formula>
    </cfRule>
    <cfRule type="cellIs" dxfId="26" priority="4" operator="greaterThanOrEqual">
      <formula>0.0001</formula>
    </cfRule>
  </conditionalFormatting>
  <conditionalFormatting sqref="B27:H46">
    <cfRule type="cellIs" dxfId="25" priority="1" operator="lessThanOrEqual">
      <formula>-0.0001</formula>
    </cfRule>
    <cfRule type="cellIs" dxfId="24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workbookViewId="0">
      <selection activeCell="J32" sqref="J32:J53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59" t="s">
        <v>205</v>
      </c>
      <c r="K4" s="157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0"/>
      <c r="K5" s="158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61" t="s">
        <v>433</v>
      </c>
      <c r="B26" s="161">
        <v>3.8037899999999998</v>
      </c>
      <c r="C26" s="161">
        <v>3.8038099999999999</v>
      </c>
      <c r="D26" s="161">
        <v>3.8036500000000002</v>
      </c>
      <c r="E26" s="161">
        <v>3.8034500000000002</v>
      </c>
      <c r="F26" s="161">
        <v>3.8030599999999999</v>
      </c>
      <c r="G26" s="161">
        <v>3.8030400000000002</v>
      </c>
      <c r="H26" s="161">
        <v>3.8029299999999999</v>
      </c>
      <c r="I26" s="161">
        <v>3.80288</v>
      </c>
      <c r="J26" s="164">
        <v>3.8031299999999999</v>
      </c>
      <c r="K26" s="161">
        <v>3.8032400000000002</v>
      </c>
      <c r="L26" s="161">
        <v>3.80348</v>
      </c>
      <c r="M26" s="161">
        <v>3.8036500000000002</v>
      </c>
    </row>
    <row r="27" spans="1:20" ht="15.75" thickBot="1" x14ac:dyDescent="0.25">
      <c r="A27" s="162"/>
      <c r="B27" s="162"/>
      <c r="C27" s="162"/>
      <c r="D27" s="162"/>
      <c r="E27" s="162"/>
      <c r="F27" s="162"/>
      <c r="G27" s="162"/>
      <c r="H27" s="162"/>
      <c r="I27" s="162"/>
      <c r="J27" s="165"/>
      <c r="K27" s="162"/>
      <c r="L27" s="162"/>
      <c r="M27" s="162"/>
    </row>
    <row r="29" spans="1:20" x14ac:dyDescent="0.2"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46"/>
      <c r="H30" s="157" t="s">
        <v>438</v>
      </c>
      <c r="I30" s="157"/>
      <c r="J30" s="157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H4:H5"/>
    <mergeCell ref="A61:C61"/>
    <mergeCell ref="G61:I61"/>
    <mergeCell ref="J26:J27"/>
    <mergeCell ref="K26:K27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A4:A5"/>
    <mergeCell ref="B4:B5"/>
    <mergeCell ref="C4:C5"/>
    <mergeCell ref="D4:D5"/>
    <mergeCell ref="E4:E5"/>
    <mergeCell ref="P61:S61"/>
    <mergeCell ref="P29:S29"/>
    <mergeCell ref="I4:I5"/>
    <mergeCell ref="J4:J5"/>
    <mergeCell ref="K4:K5"/>
    <mergeCell ref="L4:L5"/>
    <mergeCell ref="L26:L27"/>
  </mergeCells>
  <phoneticPr fontId="6" type="noConversion"/>
  <conditionalFormatting sqref="Q32:Q59">
    <cfRule type="cellIs" dxfId="23" priority="11" operator="lessThan">
      <formula>-0.0001</formula>
    </cfRule>
    <cfRule type="cellIs" dxfId="22" priority="12" operator="greaterThan">
      <formula>0.0001</formula>
    </cfRule>
  </conditionalFormatting>
  <conditionalFormatting sqref="R32:R59">
    <cfRule type="cellIs" dxfId="21" priority="9" operator="lessThan">
      <formula>-0.0001</formula>
    </cfRule>
    <cfRule type="cellIs" dxfId="20" priority="10" operator="greaterThan">
      <formula>0.0001</formula>
    </cfRule>
  </conditionalFormatting>
  <conditionalFormatting sqref="S32:S59">
    <cfRule type="cellIs" dxfId="19" priority="7" operator="lessThan">
      <formula>-0.0001</formula>
    </cfRule>
    <cfRule type="cellIs" dxfId="18" priority="8" operator="greaterThan">
      <formula>0.0001</formula>
    </cfRule>
  </conditionalFormatting>
  <conditionalFormatting sqref="Q63:Q81">
    <cfRule type="cellIs" dxfId="17" priority="5" operator="lessThan">
      <formula>-0.0001</formula>
    </cfRule>
    <cfRule type="cellIs" dxfId="16" priority="6" operator="greaterThan">
      <formula>0.0001</formula>
    </cfRule>
  </conditionalFormatting>
  <conditionalFormatting sqref="Q82">
    <cfRule type="cellIs" dxfId="15" priority="3" operator="lessThan">
      <formula>-0.0001</formula>
    </cfRule>
    <cfRule type="cellIs" dxfId="14" priority="4" operator="greaterThan">
      <formula>0.0001</formula>
    </cfRule>
  </conditionalFormatting>
  <conditionalFormatting sqref="T32:T59">
    <cfRule type="cellIs" dxfId="13" priority="1" operator="lessThan">
      <formula>-0.0001</formula>
    </cfRule>
    <cfRule type="cellIs" dxfId="12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4A30-DDA6-4F50-A561-581DB41E0BC5}">
  <dimension ref="A1:T82"/>
  <sheetViews>
    <sheetView tabSelected="1" workbookViewId="0">
      <selection activeCell="B1" sqref="B1"/>
    </sheetView>
  </sheetViews>
  <sheetFormatPr defaultRowHeight="15" x14ac:dyDescent="0.2"/>
  <cols>
    <col min="2" max="2" width="9.88671875" bestFit="1" customWidth="1"/>
    <col min="11" max="11" width="10.77734375" bestFit="1" customWidth="1"/>
  </cols>
  <sheetData>
    <row r="1" spans="1:13" x14ac:dyDescent="0.2">
      <c r="A1" s="138" t="s">
        <v>444</v>
      </c>
      <c r="B1" s="22">
        <v>44476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68" t="s">
        <v>205</v>
      </c>
      <c r="K4" s="159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8"/>
      <c r="K5" s="160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8">
        <v>9.0859999999999996E-2</v>
      </c>
      <c r="K6" s="149">
        <v>9.085E-2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8">
        <v>0.16400000000000001</v>
      </c>
      <c r="K7" s="149">
        <v>0.16402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8">
        <v>0.14605000000000001</v>
      </c>
      <c r="K8" s="149">
        <v>0.14609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8">
        <v>0.21314</v>
      </c>
      <c r="K9" s="149">
        <v>0.21310000000000001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8">
        <v>0.18607000000000001</v>
      </c>
      <c r="K10" s="149">
        <v>0.18606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8">
        <v>0.19972999999999999</v>
      </c>
      <c r="K11" s="149">
        <v>0.19969999999999999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8">
        <v>0.20499000000000001</v>
      </c>
      <c r="K12" s="149">
        <v>0.20499999999999999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8">
        <v>0.24687999999999999</v>
      </c>
      <c r="K13" s="149">
        <v>0.24690000000000001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8">
        <v>0.26762000000000002</v>
      </c>
      <c r="K14" s="149">
        <v>0.26762000000000002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8">
        <v>0.33306000000000002</v>
      </c>
      <c r="K15" s="149">
        <v>0.33306000000000002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8">
        <v>0.26384000000000002</v>
      </c>
      <c r="K16" s="149">
        <v>0.26384000000000002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8">
        <v>0.12583</v>
      </c>
      <c r="K17" s="149">
        <v>0.12583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8">
        <v>0.12977</v>
      </c>
      <c r="K18" s="149">
        <v>0.12975999999999999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8">
        <v>0.22844999999999999</v>
      </c>
      <c r="K19" s="149">
        <v>0.22850000000000001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8">
        <v>0.18239</v>
      </c>
      <c r="K20" s="149">
        <v>0.18239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8">
        <v>0.15182999999999999</v>
      </c>
      <c r="K21" s="149">
        <v>0.15182000000000001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8">
        <v>0.15323999999999999</v>
      </c>
      <c r="K22" s="149">
        <v>0.15329000000000001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8">
        <v>0.15709999999999999</v>
      </c>
      <c r="K23" s="149">
        <v>0.15712000000000001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8">
        <v>0.14865999999999999</v>
      </c>
      <c r="K24" s="149">
        <v>0.14862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8">
        <v>0.20962</v>
      </c>
      <c r="K25" s="149">
        <v>0.20965</v>
      </c>
      <c r="L25" s="148">
        <v>0.20968999999999999</v>
      </c>
      <c r="M25" s="148">
        <v>0.20973</v>
      </c>
    </row>
    <row r="26" spans="1:20" ht="15" customHeight="1" x14ac:dyDescent="0.2">
      <c r="A26" s="166" t="s">
        <v>433</v>
      </c>
      <c r="B26" s="166">
        <v>3.8037899999999998</v>
      </c>
      <c r="C26" s="166">
        <v>3.8038099999999999</v>
      </c>
      <c r="D26" s="166">
        <v>3.8036500000000002</v>
      </c>
      <c r="E26" s="166">
        <v>3.8034500000000002</v>
      </c>
      <c r="F26" s="166">
        <v>3.8030599999999999</v>
      </c>
      <c r="G26" s="166">
        <v>3.8030400000000002</v>
      </c>
      <c r="H26" s="166">
        <v>3.8029299999999999</v>
      </c>
      <c r="I26" s="166">
        <v>3.80288</v>
      </c>
      <c r="J26" s="166">
        <v>3.8031299999999999</v>
      </c>
      <c r="K26" s="169">
        <v>3.80322</v>
      </c>
      <c r="L26" s="166">
        <v>3.80348</v>
      </c>
      <c r="M26" s="166">
        <v>3.8036500000000002</v>
      </c>
    </row>
    <row r="27" spans="1:20" ht="15.75" customHeight="1" thickBot="1" x14ac:dyDescent="0.25">
      <c r="A27" s="167"/>
      <c r="B27" s="167"/>
      <c r="C27" s="167"/>
      <c r="D27" s="167"/>
      <c r="E27" s="167"/>
      <c r="F27" s="167"/>
      <c r="G27" s="167"/>
      <c r="H27" s="167"/>
      <c r="I27" s="167"/>
      <c r="J27" s="167"/>
      <c r="K27" s="170"/>
      <c r="L27" s="167"/>
      <c r="M27" s="167"/>
    </row>
    <row r="28" spans="1:20" ht="15.75" x14ac:dyDescent="0.25">
      <c r="J28" s="151" t="s">
        <v>446</v>
      </c>
      <c r="K28" s="15" cm="1">
        <f t="array" ref="K28:K29">K26-'26296_79918 (1)'!K26:K27</f>
        <v>-2.0000000000131024E-5</v>
      </c>
    </row>
    <row r="29" spans="1:20" x14ac:dyDescent="0.2">
      <c r="K29">
        <v>3.80322</v>
      </c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54"/>
      <c r="H30" s="157" t="s">
        <v>438</v>
      </c>
      <c r="I30" s="157"/>
      <c r="J30" s="157"/>
      <c r="K30" s="154"/>
      <c r="S30">
        <v>26296</v>
      </c>
      <c r="T30">
        <v>79918</v>
      </c>
    </row>
    <row r="31" spans="1:20" ht="15.75" x14ac:dyDescent="0.25">
      <c r="B31" s="153" t="s">
        <v>435</v>
      </c>
      <c r="C31" s="153" t="s">
        <v>436</v>
      </c>
      <c r="D31" s="153" t="s">
        <v>437</v>
      </c>
      <c r="E31" s="153" t="s">
        <v>442</v>
      </c>
      <c r="F31" s="153"/>
      <c r="G31" s="153"/>
      <c r="H31" s="153" t="s">
        <v>435</v>
      </c>
      <c r="I31" s="153" t="s">
        <v>436</v>
      </c>
      <c r="J31" s="153" t="s">
        <v>437</v>
      </c>
      <c r="K31" s="153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9.0840000000000004E-2</v>
      </c>
      <c r="I32">
        <v>9.0840000000000004E-2</v>
      </c>
      <c r="J32">
        <v>1.4E-5</v>
      </c>
      <c r="P32" s="147" t="s">
        <v>270</v>
      </c>
      <c r="Q32" s="15">
        <f t="shared" ref="Q32:R59" si="0">B32-H32</f>
        <v>-6.0000000000004494E-5</v>
      </c>
      <c r="R32" s="15">
        <f t="shared" si="0"/>
        <v>-6.0000000000004494E-5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0.16408</v>
      </c>
      <c r="C33">
        <v>0.16408</v>
      </c>
      <c r="D33">
        <v>2.1999999999999999E-5</v>
      </c>
      <c r="G33" s="147" t="s">
        <v>271</v>
      </c>
      <c r="H33">
        <v>0.16403000000000001</v>
      </c>
      <c r="I33">
        <v>0.16403000000000001</v>
      </c>
      <c r="J33">
        <v>1.4E-5</v>
      </c>
      <c r="P33" s="147" t="s">
        <v>271</v>
      </c>
      <c r="Q33" s="15">
        <f t="shared" si="0"/>
        <v>4.9999999999994493E-5</v>
      </c>
      <c r="R33" s="15">
        <f t="shared" si="0"/>
        <v>4.9999999999994493E-5</v>
      </c>
      <c r="S33" s="15">
        <f t="shared" ref="S33:S45" si="1">C33-B64</f>
        <v>0</v>
      </c>
      <c r="T33" s="15">
        <f t="shared" ref="T33:T45" si="2">I33-H64</f>
        <v>0</v>
      </c>
    </row>
    <row r="34" spans="1:20" ht="15.75" thickBot="1" x14ac:dyDescent="0.25">
      <c r="A34" s="147" t="s">
        <v>272</v>
      </c>
      <c r="B34">
        <v>0.14615</v>
      </c>
      <c r="C34">
        <v>0.14615</v>
      </c>
      <c r="D34">
        <v>2.1999999999999999E-5</v>
      </c>
      <c r="G34" s="147" t="s">
        <v>272</v>
      </c>
      <c r="H34">
        <v>0.14602999999999999</v>
      </c>
      <c r="I34">
        <v>0.14602999999999999</v>
      </c>
      <c r="J34">
        <v>1.4E-5</v>
      </c>
      <c r="P34" s="147" t="s">
        <v>272</v>
      </c>
      <c r="Q34" s="15">
        <f t="shared" si="0"/>
        <v>1.2000000000000899E-4</v>
      </c>
      <c r="R34" s="15">
        <f t="shared" si="0"/>
        <v>1.2000000000000899E-4</v>
      </c>
      <c r="S34" s="15">
        <f t="shared" si="1"/>
        <v>0</v>
      </c>
      <c r="T34" s="15">
        <f t="shared" si="2"/>
        <v>0</v>
      </c>
    </row>
    <row r="35" spans="1:20" ht="15.75" thickBot="1" x14ac:dyDescent="0.25">
      <c r="A35" s="147" t="s">
        <v>273</v>
      </c>
      <c r="B35">
        <v>0.21299999999999999</v>
      </c>
      <c r="C35">
        <v>0.21299999999999999</v>
      </c>
      <c r="D35">
        <v>1.4E-5</v>
      </c>
      <c r="G35" s="147" t="s">
        <v>273</v>
      </c>
      <c r="H35">
        <v>0.21318000000000001</v>
      </c>
      <c r="I35">
        <v>0.21318000000000001</v>
      </c>
      <c r="J35">
        <v>1.4E-5</v>
      </c>
      <c r="P35" s="147" t="s">
        <v>273</v>
      </c>
      <c r="Q35" s="15">
        <f t="shared" si="0"/>
        <v>-1.8000000000001348E-4</v>
      </c>
      <c r="R35" s="15">
        <f t="shared" si="0"/>
        <v>-1.8000000000001348E-4</v>
      </c>
      <c r="S35" s="15">
        <f t="shared" si="1"/>
        <v>0</v>
      </c>
      <c r="T35" s="15">
        <f t="shared" si="2"/>
        <v>0</v>
      </c>
    </row>
    <row r="36" spans="1:20" ht="15.75" thickBot="1" x14ac:dyDescent="0.25">
      <c r="A36" s="147" t="s">
        <v>281</v>
      </c>
      <c r="B36">
        <v>0.18607000000000001</v>
      </c>
      <c r="C36">
        <v>0.18607000000000001</v>
      </c>
      <c r="D36">
        <v>1.4E-5</v>
      </c>
      <c r="G36" s="147" t="s">
        <v>281</v>
      </c>
      <c r="H36">
        <v>0.18604999999999999</v>
      </c>
      <c r="I36">
        <v>0.18604999999999999</v>
      </c>
      <c r="J36">
        <v>1.4E-5</v>
      </c>
      <c r="P36" s="147" t="s">
        <v>281</v>
      </c>
      <c r="Q36" s="15">
        <f t="shared" si="0"/>
        <v>2.0000000000020002E-5</v>
      </c>
      <c r="R36" s="15">
        <f t="shared" si="0"/>
        <v>2.0000000000020002E-5</v>
      </c>
      <c r="S36" s="15">
        <f t="shared" si="1"/>
        <v>0</v>
      </c>
      <c r="T36" s="15">
        <f t="shared" si="2"/>
        <v>0</v>
      </c>
    </row>
    <row r="37" spans="1:20" ht="17.25" customHeight="1" thickBot="1" x14ac:dyDescent="0.25">
      <c r="A37" s="147" t="s">
        <v>274</v>
      </c>
      <c r="B37">
        <v>0.19977</v>
      </c>
      <c r="C37">
        <v>0.19977</v>
      </c>
      <c r="D37">
        <v>1.4E-5</v>
      </c>
      <c r="G37" s="147" t="s">
        <v>274</v>
      </c>
      <c r="H37">
        <v>0.19972999999999999</v>
      </c>
      <c r="I37">
        <v>0.19972999999999999</v>
      </c>
      <c r="J37">
        <v>2.1999999999999999E-5</v>
      </c>
      <c r="P37" s="147" t="s">
        <v>274</v>
      </c>
      <c r="Q37" s="15">
        <f t="shared" si="0"/>
        <v>4.0000000000012248E-5</v>
      </c>
      <c r="R37" s="15">
        <f t="shared" si="0"/>
        <v>4.0000000000012248E-5</v>
      </c>
      <c r="S37" s="15">
        <f t="shared" si="1"/>
        <v>0</v>
      </c>
      <c r="T37" s="15">
        <f t="shared" si="2"/>
        <v>0</v>
      </c>
    </row>
    <row r="38" spans="1:20" ht="15.75" thickBot="1" x14ac:dyDescent="0.25">
      <c r="A38" s="147" t="s">
        <v>275</v>
      </c>
      <c r="B38">
        <v>0.20494999999999999</v>
      </c>
      <c r="C38">
        <v>0.20494999999999999</v>
      </c>
      <c r="D38">
        <v>1.4E-5</v>
      </c>
      <c r="G38" s="147" t="s">
        <v>275</v>
      </c>
      <c r="H38">
        <v>0.20501</v>
      </c>
      <c r="I38">
        <v>0.20501</v>
      </c>
      <c r="J38">
        <v>2.1999999999999999E-5</v>
      </c>
      <c r="P38" s="147" t="s">
        <v>275</v>
      </c>
      <c r="Q38" s="15">
        <f t="shared" si="0"/>
        <v>-6.0000000000004494E-5</v>
      </c>
      <c r="R38" s="15">
        <f t="shared" si="0"/>
        <v>-6.0000000000004494E-5</v>
      </c>
      <c r="S38" s="15">
        <f t="shared" si="1"/>
        <v>-2.0000000000020002E-5</v>
      </c>
      <c r="T38" s="15">
        <f t="shared" si="2"/>
        <v>0</v>
      </c>
    </row>
    <row r="39" spans="1:20" ht="15.75" thickBot="1" x14ac:dyDescent="0.25">
      <c r="A39" s="147" t="s">
        <v>276</v>
      </c>
      <c r="B39">
        <v>0.24687000000000001</v>
      </c>
      <c r="C39">
        <v>0.24687000000000001</v>
      </c>
      <c r="D39">
        <v>1.4E-5</v>
      </c>
      <c r="G39" s="147" t="s">
        <v>276</v>
      </c>
      <c r="H39">
        <v>0.24693000000000001</v>
      </c>
      <c r="I39">
        <v>0.24693000000000001</v>
      </c>
      <c r="J39">
        <v>1.4E-5</v>
      </c>
      <c r="P39" s="147" t="s">
        <v>276</v>
      </c>
      <c r="Q39" s="15">
        <f t="shared" si="0"/>
        <v>-6.0000000000004494E-5</v>
      </c>
      <c r="R39" s="15">
        <f t="shared" si="0"/>
        <v>-6.0000000000004494E-5</v>
      </c>
      <c r="S39" s="15">
        <f t="shared" si="1"/>
        <v>-1.9999999999992246E-5</v>
      </c>
      <c r="T39" s="15">
        <f t="shared" si="2"/>
        <v>2.0000000000020002E-5</v>
      </c>
    </row>
    <row r="40" spans="1:20" ht="15.75" thickBot="1" x14ac:dyDescent="0.25">
      <c r="A40" s="147" t="s">
        <v>277</v>
      </c>
      <c r="B40">
        <v>0.26766000000000001</v>
      </c>
      <c r="C40">
        <v>0.26766000000000001</v>
      </c>
      <c r="D40">
        <v>1.4E-5</v>
      </c>
      <c r="G40" s="147" t="s">
        <v>277</v>
      </c>
      <c r="H40">
        <v>0.26758999999999999</v>
      </c>
      <c r="I40">
        <v>0.26758999999999999</v>
      </c>
      <c r="J40">
        <v>1.4E-5</v>
      </c>
      <c r="P40" s="147" t="s">
        <v>277</v>
      </c>
      <c r="Q40" s="15">
        <f t="shared" si="0"/>
        <v>7.0000000000014495E-5</v>
      </c>
      <c r="R40" s="15">
        <f t="shared" si="0"/>
        <v>7.0000000000014495E-5</v>
      </c>
      <c r="S40" s="15">
        <f t="shared" si="1"/>
        <v>3.0000000000030003E-5</v>
      </c>
      <c r="T40" s="15">
        <f t="shared" si="2"/>
        <v>0</v>
      </c>
    </row>
    <row r="41" spans="1:20" ht="15.75" thickBot="1" x14ac:dyDescent="0.25">
      <c r="A41" s="147" t="s">
        <v>439</v>
      </c>
      <c r="B41">
        <v>0.33306999999999998</v>
      </c>
      <c r="C41">
        <v>0.33306999999999998</v>
      </c>
      <c r="D41">
        <v>1.4E-5</v>
      </c>
      <c r="G41" s="147" t="s">
        <v>439</v>
      </c>
      <c r="H41">
        <v>0.33306999999999998</v>
      </c>
      <c r="I41">
        <v>0.33306999999999998</v>
      </c>
      <c r="J41">
        <v>1.4E-5</v>
      </c>
      <c r="P41" s="147" t="s">
        <v>439</v>
      </c>
      <c r="Q41" s="15">
        <f t="shared" si="0"/>
        <v>0</v>
      </c>
      <c r="R41" s="15">
        <f t="shared" si="0"/>
        <v>0</v>
      </c>
      <c r="S41" s="15">
        <f t="shared" si="1"/>
        <v>1.9999999999964491E-5</v>
      </c>
      <c r="T41" s="15">
        <f t="shared" si="2"/>
        <v>0</v>
      </c>
    </row>
    <row r="42" spans="1:20" ht="15.75" thickBot="1" x14ac:dyDescent="0.25">
      <c r="A42" s="147" t="s">
        <v>279</v>
      </c>
      <c r="B42">
        <v>0.26384999999999997</v>
      </c>
      <c r="C42">
        <v>0.26384999999999997</v>
      </c>
      <c r="D42">
        <v>1.4E-5</v>
      </c>
      <c r="G42" s="147" t="s">
        <v>279</v>
      </c>
      <c r="H42">
        <v>0.26385999999999998</v>
      </c>
      <c r="I42">
        <v>0.26385999999999998</v>
      </c>
      <c r="J42">
        <v>1.4E-5</v>
      </c>
      <c r="P42" s="147" t="s">
        <v>279</v>
      </c>
      <c r="Q42" s="15">
        <f t="shared" si="0"/>
        <v>-1.0000000000010001E-5</v>
      </c>
      <c r="R42" s="15">
        <f t="shared" si="0"/>
        <v>-1.0000000000010001E-5</v>
      </c>
      <c r="S42" s="15">
        <f t="shared" si="1"/>
        <v>-1.0000000000010001E-5</v>
      </c>
      <c r="T42" s="15">
        <f t="shared" si="2"/>
        <v>1.0000000000010001E-5</v>
      </c>
    </row>
    <row r="43" spans="1:20" ht="15.75" thickBot="1" x14ac:dyDescent="0.25">
      <c r="A43" s="147" t="s">
        <v>280</v>
      </c>
      <c r="B43">
        <v>0.12584000000000001</v>
      </c>
      <c r="C43">
        <v>0.12584000000000001</v>
      </c>
      <c r="D43">
        <v>1.4E-5</v>
      </c>
      <c r="G43" s="147" t="s">
        <v>280</v>
      </c>
      <c r="H43">
        <v>0.12583</v>
      </c>
      <c r="I43">
        <v>0.12583</v>
      </c>
      <c r="J43">
        <v>1.4E-5</v>
      </c>
      <c r="P43" s="147" t="s">
        <v>280</v>
      </c>
      <c r="Q43" s="15">
        <f t="shared" si="0"/>
        <v>1.0000000000010001E-5</v>
      </c>
      <c r="R43" s="15">
        <f t="shared" si="0"/>
        <v>1.0000000000010001E-5</v>
      </c>
      <c r="S43" s="15">
        <f t="shared" si="1"/>
        <v>-9.9999999999822453E-6</v>
      </c>
      <c r="T43" s="15">
        <f t="shared" si="2"/>
        <v>-1.0000000000010001E-5</v>
      </c>
    </row>
    <row r="44" spans="1:20" ht="15.75" thickBot="1" x14ac:dyDescent="0.25">
      <c r="A44" s="148" t="s">
        <v>282</v>
      </c>
      <c r="B44">
        <v>0.12977</v>
      </c>
      <c r="C44">
        <v>0.12977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-1.0000000000010001E-5</v>
      </c>
      <c r="R44" s="15">
        <f t="shared" si="0"/>
        <v>-1.0000000000010001E-5</v>
      </c>
      <c r="S44" s="15">
        <f t="shared" si="1"/>
        <v>0</v>
      </c>
      <c r="T44" s="15">
        <f t="shared" si="2"/>
        <v>1.0000000000010001E-5</v>
      </c>
    </row>
    <row r="45" spans="1:20" ht="15.75" thickBot="1" x14ac:dyDescent="0.25">
      <c r="A45" s="148" t="s">
        <v>283</v>
      </c>
      <c r="B45">
        <v>0.22847000000000001</v>
      </c>
      <c r="C45">
        <v>0.22847000000000001</v>
      </c>
      <c r="D45">
        <v>2.1999999999999999E-5</v>
      </c>
      <c r="G45" s="148" t="s">
        <v>283</v>
      </c>
      <c r="H45">
        <v>0.22842000000000001</v>
      </c>
      <c r="I45">
        <v>0.22842000000000001</v>
      </c>
      <c r="J45">
        <v>1.4E-5</v>
      </c>
      <c r="P45" s="148" t="s">
        <v>283</v>
      </c>
      <c r="Q45" s="15">
        <f t="shared" si="0"/>
        <v>4.9999999999994493E-5</v>
      </c>
      <c r="R45" s="15">
        <f t="shared" si="0"/>
        <v>4.9999999999994493E-5</v>
      </c>
      <c r="S45" s="15">
        <f t="shared" si="1"/>
        <v>1.0000000000010001E-5</v>
      </c>
      <c r="T45" s="15">
        <f t="shared" si="2"/>
        <v>-9.9999999999822453E-6</v>
      </c>
    </row>
    <row r="46" spans="1:20" ht="15.75" thickBot="1" x14ac:dyDescent="0.25">
      <c r="A46" s="148" t="s">
        <v>275</v>
      </c>
      <c r="B46">
        <v>0.20499999999999999</v>
      </c>
      <c r="C46">
        <v>0.20499999999999999</v>
      </c>
      <c r="D46">
        <v>1.4E-5</v>
      </c>
      <c r="G46" s="148" t="s">
        <v>275</v>
      </c>
      <c r="H46">
        <v>0.20501</v>
      </c>
      <c r="I46">
        <v>0.20501</v>
      </c>
      <c r="J46">
        <v>1.4E-5</v>
      </c>
      <c r="P46" s="148" t="s">
        <v>275</v>
      </c>
      <c r="Q46" s="15">
        <f t="shared" si="0"/>
        <v>-1.0000000000010001E-5</v>
      </c>
      <c r="R46" s="15">
        <f t="shared" si="0"/>
        <v>-1.0000000000010001E-5</v>
      </c>
      <c r="S46" s="15">
        <f>C38-B69</f>
        <v>-2.0000000000020002E-5</v>
      </c>
      <c r="T46" s="15">
        <f>I46-H69</f>
        <v>0</v>
      </c>
    </row>
    <row r="47" spans="1:20" ht="15.75" thickBot="1" x14ac:dyDescent="0.25">
      <c r="A47" s="148" t="s">
        <v>276</v>
      </c>
      <c r="B47">
        <v>0.24690999999999999</v>
      </c>
      <c r="C47">
        <v>0.24690999999999999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9.9999999999822453E-6</v>
      </c>
      <c r="R47" s="15">
        <f t="shared" si="0"/>
        <v>9.9999999999822453E-6</v>
      </c>
      <c r="S47" s="15">
        <f t="shared" ref="S47:S53" si="3">C39-B70</f>
        <v>-1.9999999999992246E-5</v>
      </c>
      <c r="T47" s="15">
        <f t="shared" ref="T47:T59" si="4">I47-H70</f>
        <v>-9.9999999999822453E-6</v>
      </c>
    </row>
    <row r="48" spans="1:20" ht="15.75" thickBot="1" x14ac:dyDescent="0.25">
      <c r="A48" s="148" t="s">
        <v>277</v>
      </c>
      <c r="B48">
        <v>0.2676</v>
      </c>
      <c r="C48">
        <v>0.2676</v>
      </c>
      <c r="D48">
        <v>1.4E-5</v>
      </c>
      <c r="G48" s="148" t="s">
        <v>277</v>
      </c>
      <c r="H48">
        <v>0.2676</v>
      </c>
      <c r="I48">
        <v>0.2676</v>
      </c>
      <c r="J48">
        <v>2.1999999999999999E-5</v>
      </c>
      <c r="P48" s="148" t="s">
        <v>277</v>
      </c>
      <c r="Q48" s="15">
        <f t="shared" si="0"/>
        <v>0</v>
      </c>
      <c r="R48" s="15">
        <f t="shared" si="0"/>
        <v>0</v>
      </c>
      <c r="S48" s="15">
        <f t="shared" si="3"/>
        <v>3.0000000000030003E-5</v>
      </c>
      <c r="T48" s="15">
        <f t="shared" si="4"/>
        <v>1.0000000000010001E-5</v>
      </c>
    </row>
    <row r="49" spans="1:20" ht="15.75" thickBot="1" x14ac:dyDescent="0.25">
      <c r="A49" s="147" t="s">
        <v>278</v>
      </c>
      <c r="B49">
        <v>0.33302999999999999</v>
      </c>
      <c r="C49">
        <v>0.33302999999999999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2.8E-5</v>
      </c>
      <c r="P49" s="147" t="s">
        <v>278</v>
      </c>
      <c r="Q49" s="15">
        <f t="shared" si="0"/>
        <v>-3.9999999999984492E-5</v>
      </c>
      <c r="R49" s="15">
        <f t="shared" si="0"/>
        <v>-3.9999999999984492E-5</v>
      </c>
      <c r="S49" s="15">
        <f t="shared" si="3"/>
        <v>1.9999999999964491E-5</v>
      </c>
      <c r="T49" s="15">
        <f t="shared" si="4"/>
        <v>0</v>
      </c>
    </row>
    <row r="50" spans="1:20" ht="15.75" thickBot="1" x14ac:dyDescent="0.25">
      <c r="A50" s="148" t="s">
        <v>279</v>
      </c>
      <c r="B50">
        <v>0.26386999999999999</v>
      </c>
      <c r="C50">
        <v>0.26386999999999999</v>
      </c>
      <c r="D50">
        <v>1.4E-5</v>
      </c>
      <c r="G50" s="148" t="s">
        <v>279</v>
      </c>
      <c r="H50">
        <v>0.26380999999999999</v>
      </c>
      <c r="I50">
        <v>0.26380999999999999</v>
      </c>
      <c r="J50">
        <v>2.1999999999999999E-5</v>
      </c>
      <c r="P50" s="148" t="s">
        <v>279</v>
      </c>
      <c r="Q50" s="15">
        <f t="shared" si="0"/>
        <v>6.0000000000004494E-5</v>
      </c>
      <c r="R50" s="15">
        <f t="shared" si="0"/>
        <v>6.0000000000004494E-5</v>
      </c>
      <c r="S50" s="15">
        <f t="shared" si="3"/>
        <v>-1.0000000000010001E-5</v>
      </c>
      <c r="T50" s="15">
        <f t="shared" si="4"/>
        <v>-3.9999999999984492E-5</v>
      </c>
    </row>
    <row r="51" spans="1:20" x14ac:dyDescent="0.2">
      <c r="A51" s="150" t="s">
        <v>280</v>
      </c>
      <c r="B51">
        <v>0.12584999999999999</v>
      </c>
      <c r="C51">
        <v>0.12584999999999999</v>
      </c>
      <c r="D51">
        <v>1.4E-5</v>
      </c>
      <c r="G51" s="150" t="s">
        <v>280</v>
      </c>
      <c r="H51">
        <v>0.12587999999999999</v>
      </c>
      <c r="I51">
        <v>0.12587999999999999</v>
      </c>
      <c r="J51">
        <v>2.1999999999999999E-5</v>
      </c>
      <c r="P51" s="150" t="s">
        <v>280</v>
      </c>
      <c r="Q51" s="15">
        <f t="shared" si="0"/>
        <v>-3.0000000000002247E-5</v>
      </c>
      <c r="R51" s="15">
        <f t="shared" si="0"/>
        <v>-3.0000000000002247E-5</v>
      </c>
      <c r="S51" s="15">
        <f>C43-B74</f>
        <v>-9.9999999999822453E-6</v>
      </c>
      <c r="T51" s="15">
        <f t="shared" si="4"/>
        <v>3.9999999999984492E-5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0.12973999999999999</v>
      </c>
      <c r="I52">
        <v>0.12973999999999999</v>
      </c>
      <c r="J52">
        <v>2.1999999999999999E-5</v>
      </c>
      <c r="P52" s="150" t="s">
        <v>21</v>
      </c>
      <c r="Q52" s="15">
        <f t="shared" si="0"/>
        <v>3.0000000000002247E-5</v>
      </c>
      <c r="R52" s="15">
        <f t="shared" si="0"/>
        <v>3.0000000000002247E-5</v>
      </c>
      <c r="S52" s="15">
        <f t="shared" si="3"/>
        <v>0</v>
      </c>
      <c r="T52" s="15">
        <f t="shared" si="4"/>
        <v>-3.0000000000002247E-5</v>
      </c>
    </row>
    <row r="53" spans="1:20" x14ac:dyDescent="0.2">
      <c r="A53" s="150" t="s">
        <v>22</v>
      </c>
      <c r="B53">
        <v>0.22846</v>
      </c>
      <c r="C53">
        <v>0.22846</v>
      </c>
      <c r="D53">
        <v>1.4E-5</v>
      </c>
      <c r="G53" s="150" t="s">
        <v>22</v>
      </c>
      <c r="H53">
        <v>0.22844</v>
      </c>
      <c r="I53">
        <v>0.22844</v>
      </c>
      <c r="J53">
        <v>1.4E-5</v>
      </c>
      <c r="P53" s="150" t="s">
        <v>22</v>
      </c>
      <c r="Q53" s="15">
        <f t="shared" si="0"/>
        <v>1.9999999999992246E-5</v>
      </c>
      <c r="R53" s="15">
        <f t="shared" si="0"/>
        <v>1.9999999999992246E-5</v>
      </c>
      <c r="S53" s="15">
        <f t="shared" si="3"/>
        <v>1.0000000000010001E-5</v>
      </c>
      <c r="T53" s="15">
        <f t="shared" si="4"/>
        <v>1.0000000000010001E-5</v>
      </c>
    </row>
    <row r="54" spans="1:20" x14ac:dyDescent="0.2">
      <c r="A54" s="150" t="s">
        <v>23</v>
      </c>
      <c r="B54">
        <v>0.18239</v>
      </c>
      <c r="C54">
        <v>0.18239</v>
      </c>
      <c r="D54">
        <v>1.4E-5</v>
      </c>
      <c r="G54" s="150" t="s">
        <v>23</v>
      </c>
      <c r="H54">
        <v>0.18242</v>
      </c>
      <c r="I54">
        <v>0.18242</v>
      </c>
      <c r="J54">
        <v>1.4E-5</v>
      </c>
      <c r="P54" s="150" t="s">
        <v>23</v>
      </c>
      <c r="Q54" s="15">
        <f t="shared" si="0"/>
        <v>-3.0000000000002247E-5</v>
      </c>
      <c r="R54" s="15">
        <f t="shared" si="0"/>
        <v>-3.0000000000002247E-5</v>
      </c>
      <c r="S54" s="15">
        <f>C54-B77</f>
        <v>0</v>
      </c>
      <c r="T54" s="15">
        <f t="shared" si="4"/>
        <v>0</v>
      </c>
    </row>
    <row r="55" spans="1:20" x14ac:dyDescent="0.2">
      <c r="A55" s="150" t="s">
        <v>24</v>
      </c>
      <c r="B55">
        <v>0.15182000000000001</v>
      </c>
      <c r="C55">
        <v>0.15182000000000001</v>
      </c>
      <c r="D55">
        <v>1.4E-5</v>
      </c>
      <c r="G55" s="150" t="s">
        <v>24</v>
      </c>
      <c r="H55">
        <v>0.15182000000000001</v>
      </c>
      <c r="I55">
        <v>0.15182000000000001</v>
      </c>
      <c r="J55">
        <v>1.4E-5</v>
      </c>
      <c r="P55" s="150" t="s">
        <v>24</v>
      </c>
      <c r="Q55" s="15">
        <f t="shared" si="0"/>
        <v>0</v>
      </c>
      <c r="R55" s="15">
        <f t="shared" si="0"/>
        <v>0</v>
      </c>
      <c r="S55" s="15">
        <f t="shared" ref="S55:S59" si="5">C55-B78</f>
        <v>0</v>
      </c>
      <c r="T55" s="15">
        <f t="shared" si="4"/>
        <v>0</v>
      </c>
    </row>
    <row r="56" spans="1:20" x14ac:dyDescent="0.2">
      <c r="A56" s="150" t="s">
        <v>25</v>
      </c>
      <c r="B56">
        <v>0.15323999999999999</v>
      </c>
      <c r="C56">
        <v>0.15323999999999999</v>
      </c>
      <c r="D56">
        <v>1.4E-5</v>
      </c>
      <c r="G56" s="150" t="s">
        <v>25</v>
      </c>
      <c r="H56">
        <v>0.15328</v>
      </c>
      <c r="I56">
        <v>0.15328</v>
      </c>
      <c r="J56">
        <v>2.1999999999999999E-5</v>
      </c>
      <c r="P56" s="150" t="s">
        <v>25</v>
      </c>
      <c r="Q56" s="15">
        <f t="shared" si="0"/>
        <v>-4.0000000000012248E-5</v>
      </c>
      <c r="R56" s="15">
        <f t="shared" si="0"/>
        <v>-4.0000000000012248E-5</v>
      </c>
      <c r="S56" s="15">
        <f t="shared" si="5"/>
        <v>0</v>
      </c>
      <c r="T56" s="15">
        <f t="shared" si="4"/>
        <v>0</v>
      </c>
    </row>
    <row r="57" spans="1:20" x14ac:dyDescent="0.2">
      <c r="A57" s="150" t="s">
        <v>26</v>
      </c>
      <c r="B57">
        <v>0.15712000000000001</v>
      </c>
      <c r="C57">
        <v>0.15712000000000001</v>
      </c>
      <c r="D57">
        <v>2.1999999999999999E-5</v>
      </c>
      <c r="G57" s="150" t="s">
        <v>26</v>
      </c>
      <c r="H57">
        <v>0.15711</v>
      </c>
      <c r="I57">
        <v>0.15711</v>
      </c>
      <c r="J57">
        <v>2.8E-5</v>
      </c>
      <c r="P57" s="150" t="s">
        <v>26</v>
      </c>
      <c r="Q57" s="15">
        <f t="shared" si="0"/>
        <v>1.0000000000010001E-5</v>
      </c>
      <c r="R57" s="15">
        <f t="shared" si="0"/>
        <v>1.0000000000010001E-5</v>
      </c>
      <c r="S57" s="15">
        <f t="shared" si="5"/>
        <v>0</v>
      </c>
      <c r="T57" s="15">
        <f t="shared" si="4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2.8E-5</v>
      </c>
      <c r="G58" s="150" t="s">
        <v>27</v>
      </c>
      <c r="H58">
        <v>0.14860000000000001</v>
      </c>
      <c r="I58">
        <v>0.14860000000000001</v>
      </c>
      <c r="J58">
        <v>2.1999999999999999E-5</v>
      </c>
      <c r="P58" s="150" t="s">
        <v>27</v>
      </c>
      <c r="Q58" s="15">
        <f t="shared" si="0"/>
        <v>0</v>
      </c>
      <c r="R58" s="15">
        <f t="shared" si="0"/>
        <v>0</v>
      </c>
      <c r="S58" s="15">
        <f t="shared" si="5"/>
        <v>0</v>
      </c>
      <c r="T58" s="15">
        <f t="shared" si="4"/>
        <v>0</v>
      </c>
    </row>
    <row r="59" spans="1:20" x14ac:dyDescent="0.2">
      <c r="A59" s="150" t="s">
        <v>28</v>
      </c>
      <c r="B59">
        <v>0.20966000000000001</v>
      </c>
      <c r="C59">
        <v>0.20966000000000001</v>
      </c>
      <c r="D59">
        <v>2.8E-5</v>
      </c>
      <c r="G59" s="150" t="s">
        <v>28</v>
      </c>
      <c r="H59">
        <v>0.20967</v>
      </c>
      <c r="I59">
        <v>0.20967</v>
      </c>
      <c r="J59">
        <v>2.1999999999999999E-5</v>
      </c>
      <c r="P59" s="150" t="s">
        <v>28</v>
      </c>
      <c r="Q59" s="15">
        <f t="shared" si="0"/>
        <v>-9.9999999999822453E-6</v>
      </c>
      <c r="R59" s="15">
        <f t="shared" si="0"/>
        <v>-9.9999999999822453E-6</v>
      </c>
      <c r="S59" s="15">
        <f t="shared" si="5"/>
        <v>0</v>
      </c>
      <c r="T59" s="15">
        <f t="shared" si="4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53" t="s">
        <v>442</v>
      </c>
      <c r="H62" s="153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9.0840000000000004E-2</v>
      </c>
      <c r="P63" s="147" t="s">
        <v>270</v>
      </c>
      <c r="Q63" s="15">
        <f>B63-H63</f>
        <v>-6.0000000000004494E-5</v>
      </c>
    </row>
    <row r="64" spans="1:20" ht="15.75" thickBot="1" x14ac:dyDescent="0.25">
      <c r="A64" s="147" t="s">
        <v>271</v>
      </c>
      <c r="B64">
        <v>0.16408</v>
      </c>
      <c r="G64" s="147" t="s">
        <v>271</v>
      </c>
      <c r="H64">
        <v>0.16403000000000001</v>
      </c>
      <c r="P64" s="147" t="s">
        <v>271</v>
      </c>
      <c r="Q64" s="15">
        <f t="shared" ref="Q64:Q82" si="6">B64-H64</f>
        <v>4.9999999999994493E-5</v>
      </c>
    </row>
    <row r="65" spans="1:17" ht="15.75" thickBot="1" x14ac:dyDescent="0.25">
      <c r="A65" s="147" t="s">
        <v>272</v>
      </c>
      <c r="B65">
        <v>0.14615</v>
      </c>
      <c r="G65" s="147" t="s">
        <v>272</v>
      </c>
      <c r="H65">
        <v>0.14602999999999999</v>
      </c>
      <c r="P65" s="147" t="s">
        <v>272</v>
      </c>
      <c r="Q65" s="15">
        <f t="shared" si="6"/>
        <v>1.2000000000000899E-4</v>
      </c>
    </row>
    <row r="66" spans="1:17" ht="15.75" thickBot="1" x14ac:dyDescent="0.25">
      <c r="A66" s="147" t="s">
        <v>273</v>
      </c>
      <c r="B66">
        <v>0.21299999999999999</v>
      </c>
      <c r="G66" s="147" t="s">
        <v>273</v>
      </c>
      <c r="H66">
        <v>0.21318000000000001</v>
      </c>
      <c r="P66" s="147" t="s">
        <v>273</v>
      </c>
      <c r="Q66" s="15">
        <f t="shared" si="6"/>
        <v>-1.8000000000001348E-4</v>
      </c>
    </row>
    <row r="67" spans="1:17" ht="15.75" thickBot="1" x14ac:dyDescent="0.25">
      <c r="A67" s="147" t="s">
        <v>281</v>
      </c>
      <c r="B67">
        <v>0.18607000000000001</v>
      </c>
      <c r="G67" s="147" t="s">
        <v>281</v>
      </c>
      <c r="H67">
        <v>0.18604999999999999</v>
      </c>
      <c r="P67" s="147" t="s">
        <v>281</v>
      </c>
      <c r="Q67" s="15">
        <f t="shared" si="6"/>
        <v>2.0000000000020002E-5</v>
      </c>
    </row>
    <row r="68" spans="1:17" ht="15.75" thickBot="1" x14ac:dyDescent="0.25">
      <c r="A68" s="147" t="s">
        <v>274</v>
      </c>
      <c r="B68">
        <v>0.19977</v>
      </c>
      <c r="G68" s="147" t="s">
        <v>274</v>
      </c>
      <c r="H68">
        <v>0.19972999999999999</v>
      </c>
      <c r="P68" s="147" t="s">
        <v>274</v>
      </c>
      <c r="Q68" s="15">
        <f t="shared" si="6"/>
        <v>4.0000000000012248E-5</v>
      </c>
    </row>
    <row r="69" spans="1:17" ht="15.75" thickBot="1" x14ac:dyDescent="0.25">
      <c r="A69" s="147" t="s">
        <v>275</v>
      </c>
      <c r="B69">
        <v>0.20497000000000001</v>
      </c>
      <c r="G69" s="147" t="s">
        <v>275</v>
      </c>
      <c r="H69">
        <v>0.20501</v>
      </c>
      <c r="P69" s="147" t="s">
        <v>275</v>
      </c>
      <c r="Q69" s="15">
        <f t="shared" si="6"/>
        <v>-3.9999999999984492E-5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0.24690999999999999</v>
      </c>
      <c r="P70" s="147" t="s">
        <v>276</v>
      </c>
      <c r="Q70" s="15">
        <f t="shared" si="6"/>
        <v>-1.9999999999992246E-5</v>
      </c>
    </row>
    <row r="71" spans="1:17" ht="15.75" thickBot="1" x14ac:dyDescent="0.25">
      <c r="A71" s="147" t="s">
        <v>277</v>
      </c>
      <c r="B71">
        <v>0.26762999999999998</v>
      </c>
      <c r="G71" s="147" t="s">
        <v>277</v>
      </c>
      <c r="H71">
        <v>0.26758999999999999</v>
      </c>
      <c r="P71" s="147" t="s">
        <v>277</v>
      </c>
      <c r="Q71" s="15">
        <f t="shared" si="6"/>
        <v>3.9999999999984492E-5</v>
      </c>
    </row>
    <row r="72" spans="1:17" ht="15.75" thickBot="1" x14ac:dyDescent="0.25">
      <c r="A72" s="147" t="s">
        <v>439</v>
      </c>
      <c r="B72">
        <v>0.33305000000000001</v>
      </c>
      <c r="G72" s="147" t="s">
        <v>439</v>
      </c>
      <c r="H72">
        <v>0.33306999999999998</v>
      </c>
      <c r="P72" s="147" t="s">
        <v>439</v>
      </c>
      <c r="Q72" s="15">
        <f t="shared" si="6"/>
        <v>-1.9999999999964491E-5</v>
      </c>
    </row>
    <row r="73" spans="1:17" ht="15.75" thickBot="1" x14ac:dyDescent="0.25">
      <c r="A73" s="147" t="s">
        <v>279</v>
      </c>
      <c r="B73">
        <v>0.26385999999999998</v>
      </c>
      <c r="G73" s="147" t="s">
        <v>279</v>
      </c>
      <c r="H73">
        <v>0.26384999999999997</v>
      </c>
      <c r="P73" s="147" t="s">
        <v>279</v>
      </c>
      <c r="Q73" s="15">
        <f t="shared" si="6"/>
        <v>1.0000000000010001E-5</v>
      </c>
    </row>
    <row r="74" spans="1:17" ht="15.75" thickBot="1" x14ac:dyDescent="0.25">
      <c r="A74" s="147" t="s">
        <v>280</v>
      </c>
      <c r="B74">
        <v>0.12584999999999999</v>
      </c>
      <c r="G74" s="147" t="s">
        <v>280</v>
      </c>
      <c r="H74">
        <v>0.12584000000000001</v>
      </c>
      <c r="P74" s="147" t="s">
        <v>280</v>
      </c>
      <c r="Q74" s="15">
        <f t="shared" si="6"/>
        <v>9.9999999999822453E-6</v>
      </c>
    </row>
    <row r="75" spans="1:17" ht="15.75" thickBot="1" x14ac:dyDescent="0.25">
      <c r="A75" s="148" t="s">
        <v>282</v>
      </c>
      <c r="B75">
        <v>0.12977</v>
      </c>
      <c r="G75" s="148" t="s">
        <v>282</v>
      </c>
      <c r="H75">
        <v>0.12977</v>
      </c>
      <c r="P75" s="148" t="s">
        <v>282</v>
      </c>
      <c r="Q75" s="15">
        <f t="shared" si="6"/>
        <v>0</v>
      </c>
    </row>
    <row r="76" spans="1:17" ht="15.75" thickBot="1" x14ac:dyDescent="0.25">
      <c r="A76" s="148" t="s">
        <v>283</v>
      </c>
      <c r="B76">
        <v>0.22846</v>
      </c>
      <c r="G76" s="148" t="s">
        <v>283</v>
      </c>
      <c r="H76">
        <v>0.22842999999999999</v>
      </c>
      <c r="P76" s="148" t="s">
        <v>283</v>
      </c>
      <c r="Q76" s="15">
        <f t="shared" si="6"/>
        <v>3.0000000000002247E-5</v>
      </c>
    </row>
    <row r="77" spans="1:17" x14ac:dyDescent="0.2">
      <c r="A77" s="150" t="s">
        <v>23</v>
      </c>
      <c r="B77">
        <v>0.18239</v>
      </c>
      <c r="G77" s="150" t="s">
        <v>23</v>
      </c>
      <c r="H77">
        <v>0.18242</v>
      </c>
      <c r="P77" s="150" t="s">
        <v>23</v>
      </c>
      <c r="Q77" s="15">
        <f t="shared" si="6"/>
        <v>-3.0000000000002247E-5</v>
      </c>
    </row>
    <row r="78" spans="1:17" x14ac:dyDescent="0.2">
      <c r="A78" s="150" t="s">
        <v>24</v>
      </c>
      <c r="B78">
        <v>0.15182000000000001</v>
      </c>
      <c r="G78" s="150" t="s">
        <v>24</v>
      </c>
      <c r="H78">
        <v>0.15182000000000001</v>
      </c>
      <c r="P78" s="150" t="s">
        <v>24</v>
      </c>
      <c r="Q78" s="15">
        <f t="shared" si="6"/>
        <v>0</v>
      </c>
    </row>
    <row r="79" spans="1:17" x14ac:dyDescent="0.2">
      <c r="A79" s="150" t="s">
        <v>25</v>
      </c>
      <c r="B79">
        <v>0.15323999999999999</v>
      </c>
      <c r="G79" s="150" t="s">
        <v>25</v>
      </c>
      <c r="H79">
        <v>0.15328</v>
      </c>
      <c r="P79" s="150" t="s">
        <v>25</v>
      </c>
      <c r="Q79" s="15">
        <f t="shared" si="6"/>
        <v>-4.0000000000012248E-5</v>
      </c>
    </row>
    <row r="80" spans="1:17" x14ac:dyDescent="0.2">
      <c r="A80" s="150" t="s">
        <v>26</v>
      </c>
      <c r="B80">
        <v>0.15712000000000001</v>
      </c>
      <c r="G80" s="150" t="s">
        <v>26</v>
      </c>
      <c r="H80">
        <v>0.15711</v>
      </c>
      <c r="P80" s="150" t="s">
        <v>26</v>
      </c>
      <c r="Q80" s="15">
        <f t="shared" si="6"/>
        <v>1.0000000000010001E-5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0.14860000000000001</v>
      </c>
      <c r="P81" s="150" t="s">
        <v>27</v>
      </c>
      <c r="Q81" s="15">
        <f t="shared" si="6"/>
        <v>0</v>
      </c>
    </row>
    <row r="82" spans="1:17" x14ac:dyDescent="0.2">
      <c r="A82" s="150" t="s">
        <v>28</v>
      </c>
      <c r="B82">
        <v>0.20966000000000001</v>
      </c>
      <c r="G82" s="150" t="s">
        <v>28</v>
      </c>
      <c r="H82">
        <v>0.20967</v>
      </c>
      <c r="P82" s="150" t="s">
        <v>28</v>
      </c>
      <c r="Q82" s="15">
        <f t="shared" si="6"/>
        <v>-9.9999999999822453E-6</v>
      </c>
    </row>
  </sheetData>
  <mergeCells count="33">
    <mergeCell ref="M26:M27"/>
    <mergeCell ref="P29:S29"/>
    <mergeCell ref="B30:D30"/>
    <mergeCell ref="H30:J30"/>
    <mergeCell ref="A61:C61"/>
    <mergeCell ref="G61:I61"/>
    <mergeCell ref="P61:S61"/>
    <mergeCell ref="G26:G27"/>
    <mergeCell ref="H26:H27"/>
    <mergeCell ref="I26:I27"/>
    <mergeCell ref="J26:J27"/>
    <mergeCell ref="K26:K27"/>
    <mergeCell ref="L26:L27"/>
    <mergeCell ref="J4:J5"/>
    <mergeCell ref="K4:K5"/>
    <mergeCell ref="L4:L5"/>
    <mergeCell ref="M4:M5"/>
    <mergeCell ref="A26:A27"/>
    <mergeCell ref="B26:B27"/>
    <mergeCell ref="C26:C27"/>
    <mergeCell ref="D26:D27"/>
    <mergeCell ref="E26:E27"/>
    <mergeCell ref="F26:F27"/>
    <mergeCell ref="A2:M2"/>
    <mergeCell ref="A4:A5"/>
    <mergeCell ref="B4:B5"/>
    <mergeCell ref="C4:C5"/>
    <mergeCell ref="D4:D5"/>
    <mergeCell ref="E4:E5"/>
    <mergeCell ref="F4:F5"/>
    <mergeCell ref="G4:G5"/>
    <mergeCell ref="H4:H5"/>
    <mergeCell ref="I4:I5"/>
  </mergeCells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T28"/>
  <sheetViews>
    <sheetView workbookViewId="0">
      <selection activeCell="Q1" sqref="Q1:Q20"/>
    </sheetView>
  </sheetViews>
  <sheetFormatPr defaultRowHeight="15" x14ac:dyDescent="0.2"/>
  <sheetData>
    <row r="1" spans="1:20" x14ac:dyDescent="0.2">
      <c r="A1">
        <v>1</v>
      </c>
      <c r="B1" s="138">
        <v>44228</v>
      </c>
      <c r="C1">
        <v>20.100000000000001</v>
      </c>
      <c r="D1">
        <v>7.0449999999999999E-2</v>
      </c>
      <c r="E1">
        <v>0.16128999999999999</v>
      </c>
      <c r="F1">
        <v>9.0840000000000004E-2</v>
      </c>
      <c r="G1">
        <v>9.0840000000000004E-2</v>
      </c>
      <c r="H1">
        <v>1.4E-5</v>
      </c>
      <c r="J1" s="138">
        <v>44228</v>
      </c>
      <c r="K1" s="138">
        <v>9.0840000000000004E-2</v>
      </c>
      <c r="L1">
        <v>0.03</v>
      </c>
      <c r="M1">
        <v>1</v>
      </c>
      <c r="P1" s="138">
        <v>44228</v>
      </c>
      <c r="Q1">
        <v>9.0840000000000004E-2</v>
      </c>
      <c r="R1">
        <v>0.03</v>
      </c>
      <c r="S1">
        <v>1</v>
      </c>
      <c r="T1" s="138"/>
    </row>
    <row r="2" spans="1:20" x14ac:dyDescent="0.2">
      <c r="A2">
        <v>1</v>
      </c>
      <c r="B2" s="138">
        <v>44257</v>
      </c>
      <c r="C2">
        <v>20.100000000000001</v>
      </c>
      <c r="D2">
        <v>0.16128999999999999</v>
      </c>
      <c r="E2">
        <v>0.32532</v>
      </c>
      <c r="F2">
        <v>0.16403000000000001</v>
      </c>
      <c r="G2">
        <v>0.16403000000000001</v>
      </c>
      <c r="H2">
        <v>1.4E-5</v>
      </c>
      <c r="J2" s="138">
        <v>44257</v>
      </c>
      <c r="K2" s="138">
        <v>0.16403000000000001</v>
      </c>
      <c r="L2">
        <v>0.03</v>
      </c>
      <c r="M2">
        <v>1</v>
      </c>
      <c r="P2" s="138">
        <v>44257</v>
      </c>
      <c r="Q2">
        <v>0.16403000000000001</v>
      </c>
      <c r="R2">
        <v>0.03</v>
      </c>
      <c r="S2">
        <v>1</v>
      </c>
      <c r="T2" s="138"/>
    </row>
    <row r="3" spans="1:20" x14ac:dyDescent="0.2">
      <c r="A3">
        <v>1</v>
      </c>
      <c r="B3" s="138">
        <v>44289</v>
      </c>
      <c r="C3">
        <v>20.100000000000001</v>
      </c>
      <c r="D3">
        <v>0.32532</v>
      </c>
      <c r="E3">
        <v>0.47134999999999999</v>
      </c>
      <c r="F3">
        <v>0.14602999999999999</v>
      </c>
      <c r="G3">
        <v>0.14602999999999999</v>
      </c>
      <c r="H3">
        <v>1.4E-5</v>
      </c>
      <c r="J3" s="138">
        <v>44289</v>
      </c>
      <c r="K3" s="138">
        <v>0.14602999999999999</v>
      </c>
      <c r="L3">
        <v>0.03</v>
      </c>
      <c r="M3">
        <v>1</v>
      </c>
      <c r="P3" s="138">
        <v>44289</v>
      </c>
      <c r="Q3">
        <v>0.14602999999999999</v>
      </c>
      <c r="R3">
        <v>0.03</v>
      </c>
      <c r="S3">
        <v>1</v>
      </c>
      <c r="T3" s="138"/>
    </row>
    <row r="4" spans="1:20" x14ac:dyDescent="0.2">
      <c r="A4">
        <v>1</v>
      </c>
      <c r="B4" s="138">
        <v>44320</v>
      </c>
      <c r="C4">
        <v>20.100000000000001</v>
      </c>
      <c r="D4">
        <v>0.47134999999999999</v>
      </c>
      <c r="E4">
        <v>0.68452999999999997</v>
      </c>
      <c r="F4">
        <v>0.21318000000000001</v>
      </c>
      <c r="G4">
        <v>0.21318000000000001</v>
      </c>
      <c r="H4">
        <v>1.4E-5</v>
      </c>
      <c r="J4" s="138">
        <v>44320</v>
      </c>
      <c r="K4" s="138">
        <v>0.21318000000000001</v>
      </c>
      <c r="L4">
        <v>0.03</v>
      </c>
      <c r="M4">
        <v>1</v>
      </c>
      <c r="P4" s="138">
        <v>44320</v>
      </c>
      <c r="Q4">
        <v>0.21318000000000001</v>
      </c>
      <c r="R4">
        <v>0.03</v>
      </c>
      <c r="S4">
        <v>1</v>
      </c>
      <c r="T4" s="138"/>
    </row>
    <row r="5" spans="1:20" x14ac:dyDescent="0.2">
      <c r="A5">
        <v>1</v>
      </c>
      <c r="B5" s="138">
        <v>44352</v>
      </c>
      <c r="C5">
        <v>20.100000000000001</v>
      </c>
      <c r="D5">
        <v>0.68452999999999997</v>
      </c>
      <c r="E5">
        <v>0.87058000000000002</v>
      </c>
      <c r="F5">
        <v>0.18604999999999999</v>
      </c>
      <c r="G5">
        <v>0.18604999999999999</v>
      </c>
      <c r="H5">
        <v>1.4E-5</v>
      </c>
      <c r="J5" s="138">
        <v>44352</v>
      </c>
      <c r="K5" s="138">
        <v>0.18604999999999999</v>
      </c>
      <c r="L5">
        <v>0.03</v>
      </c>
      <c r="M5">
        <v>1</v>
      </c>
      <c r="P5" s="138">
        <v>44352</v>
      </c>
      <c r="Q5">
        <v>0.18604999999999999</v>
      </c>
      <c r="R5">
        <v>0.03</v>
      </c>
      <c r="S5">
        <v>1</v>
      </c>
      <c r="T5" s="138"/>
    </row>
    <row r="6" spans="1:20" x14ac:dyDescent="0.2">
      <c r="A6">
        <v>1</v>
      </c>
      <c r="B6" s="138">
        <v>44383</v>
      </c>
      <c r="C6">
        <v>20.100000000000001</v>
      </c>
      <c r="D6">
        <v>0.87058000000000002</v>
      </c>
      <c r="E6">
        <v>1.0703100000000001</v>
      </c>
      <c r="F6">
        <v>0.19972999999999999</v>
      </c>
      <c r="G6">
        <v>0.19972999999999999</v>
      </c>
      <c r="H6">
        <v>2.1999999999999999E-5</v>
      </c>
      <c r="J6" s="138">
        <v>44383</v>
      </c>
      <c r="K6" s="138">
        <v>0.19972999999999999</v>
      </c>
      <c r="L6">
        <v>0.04</v>
      </c>
      <c r="M6">
        <v>1</v>
      </c>
      <c r="P6" s="138">
        <v>44383</v>
      </c>
      <c r="Q6">
        <v>0.19972999999999999</v>
      </c>
      <c r="R6">
        <v>0.04</v>
      </c>
      <c r="S6">
        <v>1</v>
      </c>
      <c r="T6" s="138"/>
    </row>
    <row r="7" spans="1:20" x14ac:dyDescent="0.2">
      <c r="A7">
        <v>1</v>
      </c>
      <c r="B7" s="138">
        <v>44415</v>
      </c>
      <c r="C7">
        <v>20.100000000000001</v>
      </c>
      <c r="D7">
        <v>1.0703100000000001</v>
      </c>
      <c r="E7">
        <v>1.27532</v>
      </c>
      <c r="F7">
        <v>0.20501</v>
      </c>
      <c r="G7">
        <v>0.20501</v>
      </c>
      <c r="H7">
        <v>2.1999999999999999E-5</v>
      </c>
      <c r="J7" s="138">
        <v>44415</v>
      </c>
      <c r="K7" s="138">
        <v>0.20501</v>
      </c>
      <c r="L7">
        <v>0.02</v>
      </c>
      <c r="M7">
        <v>2</v>
      </c>
      <c r="P7" s="138">
        <v>44415</v>
      </c>
      <c r="Q7">
        <v>0.20501</v>
      </c>
      <c r="R7">
        <v>0.02</v>
      </c>
      <c r="S7">
        <v>2</v>
      </c>
      <c r="T7" s="138"/>
    </row>
    <row r="8" spans="1:20" x14ac:dyDescent="0.2">
      <c r="A8">
        <v>1</v>
      </c>
      <c r="B8" s="138">
        <v>44447</v>
      </c>
      <c r="C8">
        <v>20.100000000000001</v>
      </c>
      <c r="D8">
        <v>1.27532</v>
      </c>
      <c r="E8">
        <v>1.5222500000000001</v>
      </c>
      <c r="F8">
        <v>0.24693000000000001</v>
      </c>
      <c r="G8">
        <v>0.24693000000000001</v>
      </c>
      <c r="H8">
        <v>1.4E-5</v>
      </c>
      <c r="J8" s="138">
        <v>44447</v>
      </c>
      <c r="K8" s="138">
        <v>0.24690999999999999</v>
      </c>
      <c r="L8">
        <v>0.02</v>
      </c>
      <c r="M8">
        <v>2</v>
      </c>
      <c r="P8" s="138">
        <v>44447</v>
      </c>
      <c r="Q8">
        <v>0.24690999999999999</v>
      </c>
      <c r="R8">
        <v>0.02</v>
      </c>
      <c r="S8">
        <v>2</v>
      </c>
      <c r="T8" s="138"/>
    </row>
    <row r="9" spans="1:20" x14ac:dyDescent="0.2">
      <c r="A9">
        <v>1</v>
      </c>
      <c r="B9" s="138">
        <v>44478</v>
      </c>
      <c r="C9">
        <v>20.100000000000001</v>
      </c>
      <c r="D9">
        <v>1.5222500000000001</v>
      </c>
      <c r="E9">
        <v>1.7898400000000001</v>
      </c>
      <c r="F9">
        <v>0.26758999999999999</v>
      </c>
      <c r="G9">
        <v>0.26758999999999999</v>
      </c>
      <c r="H9">
        <v>1.4E-5</v>
      </c>
      <c r="J9" s="138">
        <v>44478</v>
      </c>
      <c r="K9" s="138">
        <v>0.26758999999999999</v>
      </c>
      <c r="L9">
        <v>0.02</v>
      </c>
      <c r="M9">
        <v>2</v>
      </c>
      <c r="P9" s="138">
        <v>44478</v>
      </c>
      <c r="Q9">
        <v>0.26758999999999999</v>
      </c>
      <c r="R9">
        <v>0.02</v>
      </c>
      <c r="S9">
        <v>2</v>
      </c>
      <c r="T9" s="138"/>
    </row>
    <row r="10" spans="1:20" x14ac:dyDescent="0.2">
      <c r="A10">
        <v>1</v>
      </c>
      <c r="B10" s="138">
        <v>44510</v>
      </c>
      <c r="C10">
        <v>20.100000000000001</v>
      </c>
      <c r="D10">
        <v>1.7898400000000001</v>
      </c>
      <c r="E10">
        <v>2.1229100000000001</v>
      </c>
      <c r="F10">
        <v>0.33306999999999998</v>
      </c>
      <c r="G10">
        <v>0.33306999999999998</v>
      </c>
      <c r="H10">
        <v>1.4E-5</v>
      </c>
      <c r="J10" s="138">
        <v>44510</v>
      </c>
      <c r="K10" s="138">
        <v>0.33306999999999998</v>
      </c>
      <c r="L10">
        <v>0.02</v>
      </c>
      <c r="M10">
        <v>2</v>
      </c>
      <c r="P10" s="138">
        <v>44510</v>
      </c>
      <c r="Q10">
        <v>0.33306999999999998</v>
      </c>
      <c r="R10">
        <v>0.02</v>
      </c>
      <c r="S10">
        <v>2</v>
      </c>
      <c r="T10" s="138"/>
    </row>
    <row r="11" spans="1:20" x14ac:dyDescent="0.2">
      <c r="A11">
        <v>1</v>
      </c>
      <c r="B11" s="138">
        <v>44541</v>
      </c>
      <c r="C11">
        <v>20.100000000000001</v>
      </c>
      <c r="D11">
        <v>2.1229100000000001</v>
      </c>
      <c r="E11">
        <v>2.3867699999999998</v>
      </c>
      <c r="F11">
        <v>0.26385999999999998</v>
      </c>
      <c r="G11">
        <v>0.26385999999999998</v>
      </c>
      <c r="H11">
        <v>1.4E-5</v>
      </c>
      <c r="J11" s="138">
        <v>44541</v>
      </c>
      <c r="K11" s="138">
        <v>0.26384999999999997</v>
      </c>
      <c r="L11">
        <v>0.02</v>
      </c>
      <c r="M11">
        <v>2</v>
      </c>
      <c r="P11" s="138">
        <v>44541</v>
      </c>
      <c r="Q11">
        <v>0.26384999999999997</v>
      </c>
      <c r="R11">
        <v>0.02</v>
      </c>
      <c r="S11">
        <v>2</v>
      </c>
      <c r="T11" s="138"/>
    </row>
    <row r="12" spans="1:20" x14ac:dyDescent="0.2">
      <c r="A12">
        <v>1</v>
      </c>
      <c r="B12" s="20">
        <v>41609</v>
      </c>
      <c r="C12">
        <v>20.100000000000001</v>
      </c>
      <c r="D12">
        <v>2.3867699999999998</v>
      </c>
      <c r="E12">
        <v>2.5125999999999999</v>
      </c>
      <c r="F12">
        <v>0.12583</v>
      </c>
      <c r="G12">
        <v>0.12583</v>
      </c>
      <c r="H12">
        <v>1.4E-5</v>
      </c>
      <c r="J12" s="20">
        <v>41609</v>
      </c>
      <c r="K12" s="20">
        <v>0.12584000000000001</v>
      </c>
      <c r="L12">
        <v>0.02</v>
      </c>
      <c r="M12">
        <v>2</v>
      </c>
      <c r="P12" s="20">
        <v>41609</v>
      </c>
      <c r="Q12">
        <v>0.12584000000000001</v>
      </c>
      <c r="R12">
        <v>0.02</v>
      </c>
      <c r="S12">
        <v>2</v>
      </c>
      <c r="T12" s="20"/>
    </row>
    <row r="13" spans="1:20" x14ac:dyDescent="0.2">
      <c r="A13">
        <v>1</v>
      </c>
      <c r="B13" t="s">
        <v>21</v>
      </c>
      <c r="C13">
        <v>20.100000000000001</v>
      </c>
      <c r="D13">
        <v>2.5125999999999999</v>
      </c>
      <c r="E13">
        <v>2.6423800000000002</v>
      </c>
      <c r="F13">
        <v>0.12978000000000001</v>
      </c>
      <c r="G13">
        <v>0.12978000000000001</v>
      </c>
      <c r="H13">
        <v>1.4E-5</v>
      </c>
      <c r="J13" t="s">
        <v>21</v>
      </c>
      <c r="K13">
        <v>0.12977</v>
      </c>
      <c r="L13">
        <v>0.02</v>
      </c>
      <c r="M13">
        <v>2</v>
      </c>
      <c r="P13" t="s">
        <v>21</v>
      </c>
      <c r="Q13">
        <v>0.12977</v>
      </c>
      <c r="R13">
        <v>0.02</v>
      </c>
      <c r="S13">
        <v>2</v>
      </c>
    </row>
    <row r="14" spans="1:20" x14ac:dyDescent="0.2">
      <c r="A14">
        <v>1</v>
      </c>
      <c r="B14" t="s">
        <v>22</v>
      </c>
      <c r="C14">
        <v>20.100000000000001</v>
      </c>
      <c r="D14">
        <v>2.6423800000000002</v>
      </c>
      <c r="E14">
        <v>2.8708</v>
      </c>
      <c r="F14">
        <v>0.22842000000000001</v>
      </c>
      <c r="G14">
        <v>0.22842000000000001</v>
      </c>
      <c r="H14">
        <v>1.4E-5</v>
      </c>
      <c r="J14" t="s">
        <v>22</v>
      </c>
      <c r="K14">
        <v>0.22842999999999999</v>
      </c>
      <c r="L14">
        <v>0.02</v>
      </c>
      <c r="M14">
        <v>2</v>
      </c>
      <c r="P14" t="s">
        <v>22</v>
      </c>
      <c r="Q14">
        <v>0.22842999999999999</v>
      </c>
      <c r="R14">
        <v>0.02</v>
      </c>
      <c r="S14">
        <v>2</v>
      </c>
    </row>
    <row r="15" spans="1:20" x14ac:dyDescent="0.2">
      <c r="A15">
        <v>2</v>
      </c>
      <c r="B15" s="138">
        <v>44415</v>
      </c>
      <c r="C15">
        <v>20.9</v>
      </c>
      <c r="D15">
        <v>7.6329999999999995E-2</v>
      </c>
      <c r="E15">
        <v>0.28133999999999998</v>
      </c>
      <c r="F15">
        <v>0.20501</v>
      </c>
      <c r="G15">
        <v>0.20501</v>
      </c>
      <c r="H15">
        <v>1.4E-5</v>
      </c>
      <c r="J15" t="s">
        <v>23</v>
      </c>
      <c r="K15" s="138">
        <v>0.18242</v>
      </c>
      <c r="L15">
        <v>0.03</v>
      </c>
      <c r="M15">
        <v>1</v>
      </c>
      <c r="P15" t="s">
        <v>23</v>
      </c>
      <c r="Q15">
        <v>0.18242</v>
      </c>
      <c r="R15">
        <v>0.03</v>
      </c>
      <c r="S15">
        <v>1</v>
      </c>
      <c r="T15" s="138"/>
    </row>
    <row r="16" spans="1:20" x14ac:dyDescent="0.2">
      <c r="A16">
        <v>2</v>
      </c>
      <c r="B16" s="138">
        <v>44447</v>
      </c>
      <c r="C16">
        <v>20.9</v>
      </c>
      <c r="D16">
        <v>0.28133999999999998</v>
      </c>
      <c r="E16">
        <v>0.52824000000000004</v>
      </c>
      <c r="F16">
        <v>0.24690000000000001</v>
      </c>
      <c r="G16">
        <v>0.24690000000000001</v>
      </c>
      <c r="H16">
        <v>1.4E-5</v>
      </c>
      <c r="J16" t="s">
        <v>24</v>
      </c>
      <c r="K16" s="138">
        <v>0.15182000000000001</v>
      </c>
      <c r="L16">
        <v>0.03</v>
      </c>
      <c r="M16">
        <v>1</v>
      </c>
      <c r="P16" t="s">
        <v>24</v>
      </c>
      <c r="Q16">
        <v>0.15182000000000001</v>
      </c>
      <c r="R16">
        <v>0.03</v>
      </c>
      <c r="S16">
        <v>1</v>
      </c>
      <c r="T16" s="138"/>
    </row>
    <row r="17" spans="1:20" x14ac:dyDescent="0.2">
      <c r="A17">
        <v>2</v>
      </c>
      <c r="B17" s="138">
        <v>44478</v>
      </c>
      <c r="C17">
        <v>20.9</v>
      </c>
      <c r="D17">
        <v>0.52824000000000004</v>
      </c>
      <c r="E17">
        <v>0.79583999999999999</v>
      </c>
      <c r="F17">
        <v>0.2676</v>
      </c>
      <c r="G17">
        <v>0.2676</v>
      </c>
      <c r="H17">
        <v>2.1999999999999999E-5</v>
      </c>
      <c r="J17" t="s">
        <v>25</v>
      </c>
      <c r="K17" s="138">
        <v>0.15328</v>
      </c>
      <c r="L17">
        <v>0.04</v>
      </c>
      <c r="M17">
        <v>1</v>
      </c>
      <c r="P17" t="s">
        <v>25</v>
      </c>
      <c r="Q17">
        <v>0.15328</v>
      </c>
      <c r="R17">
        <v>0.04</v>
      </c>
      <c r="S17">
        <v>1</v>
      </c>
      <c r="T17" s="138"/>
    </row>
    <row r="18" spans="1:20" x14ac:dyDescent="0.2">
      <c r="A18">
        <v>2</v>
      </c>
      <c r="B18" s="138">
        <v>44510</v>
      </c>
      <c r="C18">
        <v>20.9</v>
      </c>
      <c r="D18">
        <v>0.79583999999999999</v>
      </c>
      <c r="E18">
        <v>1.1289100000000001</v>
      </c>
      <c r="F18">
        <v>0.33306999999999998</v>
      </c>
      <c r="G18">
        <v>0.33306999999999998</v>
      </c>
      <c r="H18">
        <v>2.8E-5</v>
      </c>
      <c r="J18" t="s">
        <v>26</v>
      </c>
      <c r="K18" s="138">
        <v>0.15711</v>
      </c>
      <c r="L18">
        <v>0.05</v>
      </c>
      <c r="M18">
        <v>1</v>
      </c>
      <c r="P18" t="s">
        <v>26</v>
      </c>
      <c r="Q18">
        <v>0.15711</v>
      </c>
      <c r="R18">
        <v>0.05</v>
      </c>
      <c r="S18">
        <v>1</v>
      </c>
      <c r="T18" s="138"/>
    </row>
    <row r="19" spans="1:20" x14ac:dyDescent="0.2">
      <c r="A19">
        <v>2</v>
      </c>
      <c r="B19" s="138">
        <v>44541</v>
      </c>
      <c r="C19">
        <v>20.9</v>
      </c>
      <c r="D19">
        <v>1.1289100000000001</v>
      </c>
      <c r="E19">
        <v>1.39272</v>
      </c>
      <c r="F19">
        <v>0.26380999999999999</v>
      </c>
      <c r="G19">
        <v>0.26380999999999999</v>
      </c>
      <c r="H19">
        <v>2.1999999999999999E-5</v>
      </c>
      <c r="J19" t="s">
        <v>27</v>
      </c>
      <c r="K19" s="138">
        <v>0.14860000000000001</v>
      </c>
      <c r="L19">
        <v>0.04</v>
      </c>
      <c r="M19">
        <v>1</v>
      </c>
      <c r="P19" t="s">
        <v>27</v>
      </c>
      <c r="Q19">
        <v>0.14860000000000001</v>
      </c>
      <c r="R19">
        <v>0.04</v>
      </c>
      <c r="S19">
        <v>1</v>
      </c>
      <c r="T19" s="138"/>
    </row>
    <row r="20" spans="1:20" x14ac:dyDescent="0.2">
      <c r="A20">
        <v>2</v>
      </c>
      <c r="B20" s="20">
        <v>41609</v>
      </c>
      <c r="C20">
        <v>20.9</v>
      </c>
      <c r="D20">
        <v>1.39272</v>
      </c>
      <c r="E20">
        <v>1.5185999999999999</v>
      </c>
      <c r="F20">
        <v>0.12587999999999999</v>
      </c>
      <c r="G20">
        <v>0.12587999999999999</v>
      </c>
      <c r="H20">
        <v>2.1999999999999999E-5</v>
      </c>
      <c r="J20" t="s">
        <v>28</v>
      </c>
      <c r="K20" s="20">
        <v>0.20967</v>
      </c>
      <c r="L20">
        <v>0.04</v>
      </c>
      <c r="M20">
        <v>1</v>
      </c>
      <c r="P20" t="s">
        <v>28</v>
      </c>
      <c r="Q20">
        <v>0.20967</v>
      </c>
      <c r="R20">
        <v>0.04</v>
      </c>
      <c r="S20">
        <v>1</v>
      </c>
      <c r="T20" s="20"/>
    </row>
    <row r="21" spans="1:20" x14ac:dyDescent="0.2">
      <c r="A21">
        <v>2</v>
      </c>
      <c r="B21" t="s">
        <v>21</v>
      </c>
      <c r="C21">
        <v>20.9</v>
      </c>
      <c r="D21">
        <v>1.5185999999999999</v>
      </c>
      <c r="E21">
        <v>1.6483399999999999</v>
      </c>
      <c r="F21">
        <v>0.12973999999999999</v>
      </c>
      <c r="G21">
        <v>0.12973999999999999</v>
      </c>
      <c r="H21">
        <v>2.1999999999999999E-5</v>
      </c>
    </row>
    <row r="22" spans="1:20" x14ac:dyDescent="0.2">
      <c r="A22">
        <v>2</v>
      </c>
      <c r="B22" t="s">
        <v>22</v>
      </c>
      <c r="C22">
        <v>20.9</v>
      </c>
      <c r="D22">
        <v>1.6483399999999999</v>
      </c>
      <c r="E22">
        <v>1.8767799999999999</v>
      </c>
      <c r="F22">
        <v>0.22844</v>
      </c>
      <c r="G22">
        <v>0.22844</v>
      </c>
      <c r="H22">
        <v>1.4E-5</v>
      </c>
    </row>
    <row r="23" spans="1:20" x14ac:dyDescent="0.2">
      <c r="A23">
        <v>2</v>
      </c>
      <c r="B23" t="s">
        <v>23</v>
      </c>
      <c r="C23">
        <v>20.9</v>
      </c>
      <c r="D23">
        <v>1.8767799999999999</v>
      </c>
      <c r="E23">
        <v>2.0592000000000001</v>
      </c>
      <c r="F23">
        <v>0.18242</v>
      </c>
      <c r="G23">
        <v>0.18242</v>
      </c>
      <c r="H23">
        <v>1.4E-5</v>
      </c>
    </row>
    <row r="24" spans="1:20" x14ac:dyDescent="0.2">
      <c r="A24">
        <v>2</v>
      </c>
      <c r="B24" t="s">
        <v>24</v>
      </c>
      <c r="C24">
        <v>20.9</v>
      </c>
      <c r="D24">
        <v>2.0592000000000001</v>
      </c>
      <c r="E24">
        <v>2.21102</v>
      </c>
      <c r="F24">
        <v>0.15182000000000001</v>
      </c>
      <c r="G24">
        <v>0.15182000000000001</v>
      </c>
      <c r="H24">
        <v>1.4E-5</v>
      </c>
    </row>
    <row r="25" spans="1:20" x14ac:dyDescent="0.2">
      <c r="A25">
        <v>2</v>
      </c>
      <c r="B25" t="s">
        <v>25</v>
      </c>
      <c r="C25">
        <v>20.9</v>
      </c>
      <c r="D25">
        <v>2.21102</v>
      </c>
      <c r="E25">
        <v>2.3643000000000001</v>
      </c>
      <c r="F25">
        <v>0.15328</v>
      </c>
      <c r="G25">
        <v>0.15328</v>
      </c>
      <c r="H25">
        <v>2.1999999999999999E-5</v>
      </c>
    </row>
    <row r="26" spans="1:20" x14ac:dyDescent="0.2">
      <c r="A26">
        <v>2</v>
      </c>
      <c r="B26" t="s">
        <v>26</v>
      </c>
      <c r="C26">
        <v>20.9</v>
      </c>
      <c r="D26">
        <v>2.3643000000000001</v>
      </c>
      <c r="E26">
        <v>2.5214099999999999</v>
      </c>
      <c r="F26">
        <v>0.15711</v>
      </c>
      <c r="G26">
        <v>0.15711</v>
      </c>
      <c r="H26">
        <v>2.8E-5</v>
      </c>
    </row>
    <row r="27" spans="1:20" x14ac:dyDescent="0.2">
      <c r="A27">
        <v>2</v>
      </c>
      <c r="B27" t="s">
        <v>27</v>
      </c>
      <c r="C27">
        <v>20.9</v>
      </c>
      <c r="D27">
        <v>2.5214099999999999</v>
      </c>
      <c r="E27">
        <v>2.67001</v>
      </c>
      <c r="F27">
        <v>0.14860000000000001</v>
      </c>
      <c r="G27">
        <v>0.14860000000000001</v>
      </c>
      <c r="H27">
        <v>2.1999999999999999E-5</v>
      </c>
    </row>
    <row r="28" spans="1:20" x14ac:dyDescent="0.2">
      <c r="A28">
        <v>2</v>
      </c>
      <c r="B28" t="s">
        <v>28</v>
      </c>
      <c r="C28">
        <v>20.9</v>
      </c>
      <c r="D28">
        <v>2.67001</v>
      </c>
      <c r="E28">
        <v>2.87968</v>
      </c>
      <c r="F28">
        <v>0.20967</v>
      </c>
      <c r="G28">
        <v>0.20967</v>
      </c>
      <c r="H28">
        <v>2.1999999999999999E-5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5" ma:contentTypeDescription="Create a new document." ma:contentTypeScope="" ma:versionID="2d7ab1fa1a47b7f515ef590e5d72834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e95a0e1b4afd2545eb4e6cffc21b51a2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524C41-4D62-45CF-9CCF-E4971EAE8EE8}"/>
</file>

<file path=customXml/itemProps2.xml><?xml version="1.0" encoding="utf-8"?>
<ds:datastoreItem xmlns:ds="http://schemas.openxmlformats.org/officeDocument/2006/customXml" ds:itemID="{8B5FDC7D-6AAA-4BDB-AEBC-774D6DA271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26296_79918 (2)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2021-10-08T02:37:52Z</dcterms:modified>
</cp:coreProperties>
</file>