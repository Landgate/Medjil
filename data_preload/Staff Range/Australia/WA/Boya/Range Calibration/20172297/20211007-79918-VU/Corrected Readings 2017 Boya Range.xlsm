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vbaProject.bin" ContentType="application/vnd.ms-office.vbaProject"/>
  <Override PartName="/xl/metadata.xml" ContentType="application/vnd.openxmlformats-officedocument.spreadsheetml.sheetMetadata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VANESSA\CALIBRATIONS\BOYA_RANGE\2021_BOYA_RANGE_CALIBRATION\20211007-VU\"/>
    </mc:Choice>
  </mc:AlternateContent>
  <xr:revisionPtr revIDLastSave="0" documentId="13_ncr:1_{7424B433-73FF-415A-B88E-66AAB9645E4F}" xr6:coauthVersionLast="47" xr6:coauthVersionMax="47" xr10:uidLastSave="{00000000-0000-0000-0000-000000000000}"/>
  <bookViews>
    <workbookView xWindow="-120" yWindow="-120" windowWidth="29040" windowHeight="15840" tabRatio="907" firstSheet="1" activeTab="16" xr2:uid="{00000000-000D-0000-FFFF-FFFF00000000}"/>
  </bookViews>
  <sheets>
    <sheet name="27690" sheetId="2" r:id="rId1"/>
    <sheet name="26296" sheetId="1" r:id="rId2"/>
    <sheet name="79918" sheetId="19" r:id="rId3"/>
    <sheet name="26909" sheetId="3" r:id="rId4"/>
    <sheet name="Merge8" sheetId="4" r:id="rId5"/>
    <sheet name="Recent data" sheetId="5" r:id="rId6"/>
    <sheet name="Sheet1" sheetId="6" r:id="rId7"/>
    <sheet name="Sheet2" sheetId="7" r:id="rId8"/>
    <sheet name="Calcs" sheetId="8" r:id="rId9"/>
    <sheet name="Sheet3" sheetId="9" r:id="rId10"/>
    <sheet name="Sheet4" sheetId="10" r:id="rId11"/>
    <sheet name="Analysis" sheetId="12" r:id="rId12"/>
    <sheet name="Analysis Temp" sheetId="13" r:id="rId13"/>
    <sheet name="HeightDiff Comparisons&amp;merge" sheetId="16" r:id="rId14"/>
    <sheet name="HeightDiff Comparisons" sheetId="17" r:id="rId15"/>
    <sheet name="26296_79918 (1)" sheetId="18" r:id="rId16"/>
    <sheet name="26296_79918 (2)" sheetId="22" r:id="rId17"/>
    <sheet name="Sheet5" sheetId="2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8" i="22" l="1" a="1"/>
  <c r="K28" i="22" s="1"/>
  <c r="Q82" i="22"/>
  <c r="Q81" i="22"/>
  <c r="Q80" i="22"/>
  <c r="Q79" i="22"/>
  <c r="Q78" i="22"/>
  <c r="Q77" i="22"/>
  <c r="Q76" i="22"/>
  <c r="Q75" i="22"/>
  <c r="Q74" i="22"/>
  <c r="Q73" i="22"/>
  <c r="Q72" i="22"/>
  <c r="Q71" i="22"/>
  <c r="Q70" i="22"/>
  <c r="Q69" i="22"/>
  <c r="Q68" i="22"/>
  <c r="Q67" i="22"/>
  <c r="Q66" i="22"/>
  <c r="Q65" i="22"/>
  <c r="Q64" i="22"/>
  <c r="Q63" i="22"/>
  <c r="T59" i="22"/>
  <c r="S59" i="22"/>
  <c r="R59" i="22"/>
  <c r="Q59" i="22"/>
  <c r="T58" i="22"/>
  <c r="S58" i="22"/>
  <c r="R58" i="22"/>
  <c r="Q58" i="22"/>
  <c r="T57" i="22"/>
  <c r="S57" i="22"/>
  <c r="R57" i="22"/>
  <c r="Q57" i="22"/>
  <c r="T56" i="22"/>
  <c r="S56" i="22"/>
  <c r="R56" i="22"/>
  <c r="Q56" i="22"/>
  <c r="T55" i="22"/>
  <c r="S55" i="22"/>
  <c r="R55" i="22"/>
  <c r="Q55" i="22"/>
  <c r="T54" i="22"/>
  <c r="S54" i="22"/>
  <c r="R54" i="22"/>
  <c r="Q54" i="22"/>
  <c r="T53" i="22"/>
  <c r="S53" i="22"/>
  <c r="R53" i="22"/>
  <c r="Q53" i="22"/>
  <c r="T52" i="22"/>
  <c r="S52" i="22"/>
  <c r="R52" i="22"/>
  <c r="Q52" i="22"/>
  <c r="T51" i="22"/>
  <c r="S51" i="22"/>
  <c r="R51" i="22"/>
  <c r="Q51" i="22"/>
  <c r="T50" i="22"/>
  <c r="S50" i="22"/>
  <c r="R50" i="22"/>
  <c r="Q50" i="22"/>
  <c r="T49" i="22"/>
  <c r="S49" i="22"/>
  <c r="R49" i="22"/>
  <c r="Q49" i="22"/>
  <c r="T48" i="22"/>
  <c r="S48" i="22"/>
  <c r="R48" i="22"/>
  <c r="Q48" i="22"/>
  <c r="T47" i="22"/>
  <c r="S47" i="22"/>
  <c r="R47" i="22"/>
  <c r="Q47" i="22"/>
  <c r="T46" i="22"/>
  <c r="S46" i="22"/>
  <c r="R46" i="22"/>
  <c r="Q46" i="22"/>
  <c r="T45" i="22"/>
  <c r="S45" i="22"/>
  <c r="R45" i="22"/>
  <c r="Q45" i="22"/>
  <c r="T44" i="22"/>
  <c r="S44" i="22"/>
  <c r="R44" i="22"/>
  <c r="Q44" i="22"/>
  <c r="T43" i="22"/>
  <c r="S43" i="22"/>
  <c r="R43" i="22"/>
  <c r="Q43" i="22"/>
  <c r="T42" i="22"/>
  <c r="S42" i="22"/>
  <c r="R42" i="22"/>
  <c r="Q42" i="22"/>
  <c r="T41" i="22"/>
  <c r="S41" i="22"/>
  <c r="R41" i="22"/>
  <c r="Q41" i="22"/>
  <c r="T40" i="22"/>
  <c r="S40" i="22"/>
  <c r="R40" i="22"/>
  <c r="Q40" i="22"/>
  <c r="T39" i="22"/>
  <c r="S39" i="22"/>
  <c r="R39" i="22"/>
  <c r="Q39" i="22"/>
  <c r="T38" i="22"/>
  <c r="S38" i="22"/>
  <c r="R38" i="22"/>
  <c r="Q38" i="22"/>
  <c r="T37" i="22"/>
  <c r="S37" i="22"/>
  <c r="R37" i="22"/>
  <c r="Q37" i="22"/>
  <c r="T36" i="22"/>
  <c r="S36" i="22"/>
  <c r="R36" i="22"/>
  <c r="Q36" i="22"/>
  <c r="T35" i="22"/>
  <c r="S35" i="22"/>
  <c r="R35" i="22"/>
  <c r="Q35" i="22"/>
  <c r="T34" i="22"/>
  <c r="S34" i="22"/>
  <c r="R34" i="22"/>
  <c r="Q34" i="22"/>
  <c r="T33" i="22"/>
  <c r="S33" i="22"/>
  <c r="R33" i="22"/>
  <c r="Q33" i="22"/>
  <c r="T32" i="22"/>
  <c r="S32" i="22"/>
  <c r="R32" i="22"/>
  <c r="Q32" i="22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46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32" i="18"/>
  <c r="S55" i="18"/>
  <c r="S56" i="18"/>
  <c r="S57" i="18"/>
  <c r="S58" i="18"/>
  <c r="S59" i="18"/>
  <c r="S54" i="18"/>
  <c r="S51" i="18"/>
  <c r="S47" i="18"/>
  <c r="S48" i="18"/>
  <c r="S49" i="18"/>
  <c r="S50" i="18"/>
  <c r="S52" i="18"/>
  <c r="S53" i="18"/>
  <c r="S46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32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63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32" i="18"/>
  <c r="D22" i="19"/>
  <c r="D23" i="19" s="1"/>
  <c r="E23" i="19" s="1"/>
  <c r="D5" i="19"/>
  <c r="HS22" i="1"/>
  <c r="HS26" i="1" s="1"/>
  <c r="HT26" i="1" s="1"/>
  <c r="HS5" i="1"/>
  <c r="HS18" i="1" s="1"/>
  <c r="HT18" i="1" s="1"/>
  <c r="HS24" i="1"/>
  <c r="HT24" i="1" s="1"/>
  <c r="HS25" i="1"/>
  <c r="HT25" i="1" s="1"/>
  <c r="HS30" i="1"/>
  <c r="HT30" i="1" s="1"/>
  <c r="HS31" i="1"/>
  <c r="HT31" i="1" s="1"/>
  <c r="HS32" i="1"/>
  <c r="HT32" i="1" s="1"/>
  <c r="HS23" i="1"/>
  <c r="HT23" i="1" s="1"/>
  <c r="HS7" i="1"/>
  <c r="HT7" i="1" s="1"/>
  <c r="HS8" i="1"/>
  <c r="HT8" i="1" s="1"/>
  <c r="HS9" i="1"/>
  <c r="HT9" i="1" s="1"/>
  <c r="HS10" i="1"/>
  <c r="HT10" i="1" s="1"/>
  <c r="HS11" i="1"/>
  <c r="HT11" i="1" s="1"/>
  <c r="HS12" i="1"/>
  <c r="HT12" i="1" s="1"/>
  <c r="HS13" i="1"/>
  <c r="HT13" i="1" s="1"/>
  <c r="HS14" i="1"/>
  <c r="HT14" i="1" s="1"/>
  <c r="HS15" i="1"/>
  <c r="HS16" i="1"/>
  <c r="HS17" i="1"/>
  <c r="HT17" i="1" s="1"/>
  <c r="HS6" i="1"/>
  <c r="HT6" i="1" s="1"/>
  <c r="HT16" i="1"/>
  <c r="HT15" i="1"/>
  <c r="D14" i="19"/>
  <c r="E14" i="19" s="1"/>
  <c r="B23" i="16"/>
  <c r="C23" i="16"/>
  <c r="D23" i="16"/>
  <c r="E23" i="16"/>
  <c r="AF180" i="4"/>
  <c r="AF181" i="4"/>
  <c r="AF182" i="4"/>
  <c r="AG182" i="4"/>
  <c r="AG181" i="4"/>
  <c r="AG180" i="4"/>
  <c r="B76" i="16"/>
  <c r="B53" i="16"/>
  <c r="B28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52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C24" i="17"/>
  <c r="B23" i="17"/>
  <c r="AK28" i="4"/>
  <c r="AK29" i="4"/>
  <c r="AK30" i="4"/>
  <c r="AF28" i="4"/>
  <c r="AF29" i="4"/>
  <c r="AF30" i="4"/>
  <c r="AG28" i="4"/>
  <c r="AM28" i="4"/>
  <c r="AL28" i="4"/>
  <c r="AM29" i="4"/>
  <c r="AL29" i="4"/>
  <c r="AM30" i="4"/>
  <c r="AL30" i="4"/>
  <c r="AG29" i="4"/>
  <c r="AG30" i="4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6" i="1"/>
  <c r="HS37" i="1" l="1"/>
  <c r="HT37" i="1" s="1"/>
  <c r="HS35" i="1"/>
  <c r="HT35" i="1" s="1"/>
  <c r="HS34" i="1"/>
  <c r="HT34" i="1" s="1"/>
  <c r="HS36" i="1"/>
  <c r="HT36" i="1" s="1"/>
  <c r="HS33" i="1"/>
  <c r="HT33" i="1" s="1"/>
  <c r="HS29" i="1"/>
  <c r="HT29" i="1" s="1"/>
  <c r="HS28" i="1"/>
  <c r="HT28" i="1" s="1"/>
  <c r="HS27" i="1"/>
  <c r="HT27" i="1" s="1"/>
  <c r="HS20" i="1"/>
  <c r="HT20" i="1" s="1"/>
  <c r="HS19" i="1"/>
  <c r="HT19" i="1" s="1"/>
  <c r="D29" i="19"/>
  <c r="E29" i="19" s="1"/>
  <c r="D30" i="19"/>
  <c r="E30" i="19" s="1"/>
  <c r="D31" i="19"/>
  <c r="E31" i="19" s="1"/>
  <c r="D32" i="19"/>
  <c r="E32" i="19" s="1"/>
  <c r="D33" i="19"/>
  <c r="E33" i="19" s="1"/>
  <c r="D34" i="19"/>
  <c r="E34" i="19" s="1"/>
  <c r="D6" i="19"/>
  <c r="E6" i="19" s="1"/>
  <c r="D24" i="19"/>
  <c r="E24" i="19" s="1"/>
  <c r="D37" i="19"/>
  <c r="E37" i="19" s="1"/>
  <c r="D36" i="19"/>
  <c r="E36" i="19" s="1"/>
  <c r="D25" i="19"/>
  <c r="E25" i="19" s="1"/>
  <c r="D26" i="19"/>
  <c r="E26" i="19" s="1"/>
  <c r="D27" i="19"/>
  <c r="E27" i="19" s="1"/>
  <c r="D13" i="19"/>
  <c r="E13" i="19" s="1"/>
  <c r="D16" i="19"/>
  <c r="E16" i="19" s="1"/>
  <c r="D8" i="19"/>
  <c r="E8" i="19" s="1"/>
  <c r="D11" i="19"/>
  <c r="E11" i="19" s="1"/>
  <c r="D17" i="19"/>
  <c r="E17" i="19" s="1"/>
  <c r="D18" i="19"/>
  <c r="E18" i="19" s="1"/>
  <c r="D19" i="19"/>
  <c r="E19" i="19" s="1"/>
  <c r="D12" i="19"/>
  <c r="E12" i="19" s="1"/>
  <c r="D20" i="19"/>
  <c r="E20" i="19" s="1"/>
  <c r="D9" i="19"/>
  <c r="E9" i="19" s="1"/>
  <c r="D7" i="19"/>
  <c r="E7" i="19" s="1"/>
  <c r="D10" i="19"/>
  <c r="E10" i="19" s="1"/>
  <c r="D15" i="19"/>
  <c r="E15" i="19" s="1"/>
  <c r="D28" i="19"/>
  <c r="E28" i="19" s="1"/>
  <c r="D35" i="19"/>
  <c r="E35" i="19" s="1"/>
  <c r="HL22" i="1"/>
  <c r="HL5" i="1"/>
  <c r="HM37" i="1"/>
  <c r="HM36" i="1"/>
  <c r="HM35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0" i="1"/>
  <c r="HM19" i="1"/>
  <c r="HM18" i="1"/>
  <c r="HM17" i="1"/>
  <c r="HM16" i="1"/>
  <c r="HM15" i="1"/>
  <c r="HM14" i="1"/>
  <c r="HM13" i="1"/>
  <c r="HM12" i="1"/>
  <c r="HM11" i="1"/>
  <c r="HM10" i="1"/>
  <c r="HM9" i="1"/>
  <c r="HM8" i="1"/>
  <c r="HM7" i="1"/>
  <c r="HM6" i="1"/>
  <c r="C23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52" i="16"/>
  <c r="D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HE24" i="1"/>
  <c r="HE25" i="1"/>
  <c r="HE26" i="1"/>
  <c r="HE27" i="1"/>
  <c r="HF27" i="1" s="1"/>
  <c r="HE28" i="1"/>
  <c r="HE29" i="1"/>
  <c r="HE30" i="1"/>
  <c r="HE31" i="1"/>
  <c r="HF31" i="1" s="1"/>
  <c r="HE32" i="1"/>
  <c r="HF32" i="1" s="1"/>
  <c r="HE33" i="1"/>
  <c r="HE34" i="1"/>
  <c r="HE35" i="1"/>
  <c r="HF35" i="1" s="1"/>
  <c r="HE36" i="1"/>
  <c r="HF36" i="1" s="1"/>
  <c r="HE37" i="1"/>
  <c r="HE23" i="1"/>
  <c r="HF23" i="1" s="1"/>
  <c r="HE7" i="1"/>
  <c r="HE8" i="1"/>
  <c r="HF8" i="1" s="1"/>
  <c r="HE9" i="1"/>
  <c r="HE10" i="1"/>
  <c r="HF10" i="1" s="1"/>
  <c r="HE11" i="1"/>
  <c r="HE12" i="1"/>
  <c r="HF12" i="1" s="1"/>
  <c r="HE13" i="1"/>
  <c r="HE14" i="1"/>
  <c r="HF14" i="1" s="1"/>
  <c r="HE15" i="1"/>
  <c r="HE16" i="1"/>
  <c r="HF16" i="1" s="1"/>
  <c r="HE17" i="1"/>
  <c r="HE18" i="1"/>
  <c r="HF18" i="1" s="1"/>
  <c r="HE19" i="1"/>
  <c r="HE20" i="1"/>
  <c r="HF20" i="1" s="1"/>
  <c r="HE6" i="1"/>
  <c r="HF6" i="1" s="1"/>
  <c r="HE22" i="1"/>
  <c r="HE5" i="1"/>
  <c r="HF37" i="1"/>
  <c r="HF34" i="1"/>
  <c r="HF33" i="1"/>
  <c r="HF30" i="1"/>
  <c r="HF29" i="1"/>
  <c r="HF28" i="1"/>
  <c r="HF26" i="1"/>
  <c r="HF25" i="1"/>
  <c r="HF24" i="1"/>
  <c r="HF19" i="1"/>
  <c r="HF17" i="1"/>
  <c r="HF15" i="1"/>
  <c r="HF13" i="1"/>
  <c r="HF11" i="1"/>
  <c r="HF9" i="1"/>
  <c r="HF7" i="1"/>
  <c r="D53" i="16" l="1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3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GX7" i="1"/>
  <c r="GY7" i="1" s="1"/>
  <c r="GX9" i="1"/>
  <c r="GX10" i="1"/>
  <c r="GX11" i="1"/>
  <c r="GY11" i="1" s="1"/>
  <c r="GX13" i="1"/>
  <c r="GX14" i="1"/>
  <c r="GX15" i="1"/>
  <c r="GY15" i="1" s="1"/>
  <c r="GX17" i="1"/>
  <c r="GX18" i="1"/>
  <c r="GX19" i="1"/>
  <c r="GY19" i="1" s="1"/>
  <c r="GX6" i="1"/>
  <c r="GX22" i="1"/>
  <c r="GX25" i="1" s="1"/>
  <c r="GY25" i="1" s="1"/>
  <c r="GX5" i="1"/>
  <c r="GX8" i="1" s="1"/>
  <c r="GY8" i="1" s="1"/>
  <c r="GY18" i="1"/>
  <c r="GY17" i="1"/>
  <c r="GY14" i="1"/>
  <c r="GY13" i="1"/>
  <c r="GY10" i="1"/>
  <c r="GY9" i="1"/>
  <c r="GY6" i="1"/>
  <c r="GX34" i="1" l="1"/>
  <c r="GY34" i="1" s="1"/>
  <c r="GX26" i="1"/>
  <c r="GY26" i="1" s="1"/>
  <c r="GX23" i="1"/>
  <c r="GY23" i="1" s="1"/>
  <c r="GX36" i="1"/>
  <c r="GY36" i="1" s="1"/>
  <c r="GX32" i="1"/>
  <c r="GY32" i="1" s="1"/>
  <c r="GX28" i="1"/>
  <c r="GY28" i="1" s="1"/>
  <c r="GX24" i="1"/>
  <c r="GY24" i="1" s="1"/>
  <c r="GX20" i="1"/>
  <c r="GY20" i="1" s="1"/>
  <c r="GX16" i="1"/>
  <c r="GY16" i="1" s="1"/>
  <c r="GX12" i="1"/>
  <c r="GY12" i="1" s="1"/>
  <c r="GX35" i="1"/>
  <c r="GY35" i="1" s="1"/>
  <c r="GX31" i="1"/>
  <c r="GY31" i="1" s="1"/>
  <c r="GX27" i="1"/>
  <c r="GY27" i="1" s="1"/>
  <c r="GX30" i="1"/>
  <c r="GY30" i="1" s="1"/>
  <c r="GX37" i="1"/>
  <c r="GY37" i="1" s="1"/>
  <c r="GX33" i="1"/>
  <c r="GY33" i="1" s="1"/>
  <c r="GX29" i="1"/>
  <c r="GY29" i="1" s="1"/>
  <c r="E23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AF31" i="4" l="1"/>
  <c r="AG31" i="4"/>
  <c r="AM31" i="4"/>
  <c r="AL31" i="4"/>
  <c r="AK31" i="4"/>
  <c r="AG179" i="4" s="1"/>
  <c r="AK32" i="4"/>
  <c r="AG32" i="4"/>
  <c r="GQ22" i="1" l="1"/>
  <c r="GQ24" i="1" s="1"/>
  <c r="GR24" i="1" s="1"/>
  <c r="GQ5" i="1"/>
  <c r="GQ12" i="1" s="1"/>
  <c r="GR12" i="1" s="1"/>
  <c r="GQ7" i="1"/>
  <c r="GR7" i="1" s="1"/>
  <c r="GQ25" i="1"/>
  <c r="GR25" i="1" s="1"/>
  <c r="GQ26" i="1"/>
  <c r="GQ27" i="1"/>
  <c r="GR27" i="1" s="1"/>
  <c r="GQ29" i="1"/>
  <c r="GQ30" i="1"/>
  <c r="GR30" i="1" s="1"/>
  <c r="GQ31" i="1"/>
  <c r="GR31" i="1" s="1"/>
  <c r="GQ33" i="1"/>
  <c r="GQ34" i="1"/>
  <c r="GR34" i="1" s="1"/>
  <c r="GQ35" i="1"/>
  <c r="GR35" i="1" s="1"/>
  <c r="GQ37" i="1"/>
  <c r="GQ8" i="1"/>
  <c r="GQ9" i="1"/>
  <c r="GQ10" i="1"/>
  <c r="GR10" i="1" s="1"/>
  <c r="GQ13" i="1"/>
  <c r="GR13" i="1" s="1"/>
  <c r="GQ14" i="1"/>
  <c r="GR14" i="1" s="1"/>
  <c r="GQ16" i="1"/>
  <c r="GR16" i="1" s="1"/>
  <c r="GQ18" i="1"/>
  <c r="GR18" i="1" s="1"/>
  <c r="GQ20" i="1"/>
  <c r="GQ23" i="1"/>
  <c r="GR37" i="1"/>
  <c r="GR33" i="1"/>
  <c r="GR29" i="1"/>
  <c r="GR26" i="1"/>
  <c r="GR23" i="1"/>
  <c r="GR20" i="1"/>
  <c r="GR9" i="1"/>
  <c r="GR8" i="1"/>
  <c r="GQ36" i="1" l="1"/>
  <c r="GR36" i="1" s="1"/>
  <c r="GQ32" i="1"/>
  <c r="GR32" i="1" s="1"/>
  <c r="GQ28" i="1"/>
  <c r="GR28" i="1" s="1"/>
  <c r="GQ6" i="1"/>
  <c r="GR6" i="1" s="1"/>
  <c r="GQ17" i="1"/>
  <c r="GR17" i="1" s="1"/>
  <c r="GQ19" i="1"/>
  <c r="GR19" i="1" s="1"/>
  <c r="GQ15" i="1"/>
  <c r="GR15" i="1" s="1"/>
  <c r="GQ11" i="1"/>
  <c r="GR11" i="1" s="1"/>
  <c r="F76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23" i="17"/>
  <c r="F23" i="16"/>
  <c r="AG178" i="4"/>
  <c r="AM32" i="4"/>
  <c r="AL32" i="4"/>
  <c r="AF32" i="4" s="1"/>
  <c r="GJ24" i="1"/>
  <c r="GK24" i="1" s="1"/>
  <c r="GJ25" i="1"/>
  <c r="GJ26" i="1"/>
  <c r="GJ27" i="1"/>
  <c r="GK27" i="1" s="1"/>
  <c r="GJ28" i="1"/>
  <c r="GK28" i="1" s="1"/>
  <c r="GJ29" i="1"/>
  <c r="GJ30" i="1"/>
  <c r="GJ31" i="1"/>
  <c r="GK31" i="1" s="1"/>
  <c r="GJ32" i="1"/>
  <c r="GK32" i="1" s="1"/>
  <c r="GJ33" i="1"/>
  <c r="GJ34" i="1"/>
  <c r="GJ35" i="1"/>
  <c r="GK35" i="1" s="1"/>
  <c r="GJ36" i="1"/>
  <c r="GK36" i="1" s="1"/>
  <c r="GJ37" i="1"/>
  <c r="GJ23" i="1"/>
  <c r="GJ7" i="1"/>
  <c r="GJ8" i="1"/>
  <c r="GK8" i="1" s="1"/>
  <c r="GJ9" i="1"/>
  <c r="GJ10" i="1"/>
  <c r="GK10" i="1" s="1"/>
  <c r="GJ11" i="1"/>
  <c r="GJ12" i="1"/>
  <c r="GK12" i="1" s="1"/>
  <c r="GJ13" i="1"/>
  <c r="GJ14" i="1"/>
  <c r="GK14" i="1" s="1"/>
  <c r="GJ15" i="1"/>
  <c r="GJ16" i="1"/>
  <c r="GK16" i="1" s="1"/>
  <c r="GJ17" i="1"/>
  <c r="GJ18" i="1"/>
  <c r="GK18" i="1" s="1"/>
  <c r="GJ19" i="1"/>
  <c r="GJ20" i="1"/>
  <c r="GK20" i="1" s="1"/>
  <c r="GJ6" i="1"/>
  <c r="GK6" i="1" s="1"/>
  <c r="GJ22" i="1"/>
  <c r="GJ5" i="1"/>
  <c r="GK37" i="1"/>
  <c r="GK34" i="1"/>
  <c r="GK33" i="1"/>
  <c r="GK30" i="1"/>
  <c r="GK29" i="1"/>
  <c r="GK26" i="1"/>
  <c r="GK25" i="1"/>
  <c r="GK23" i="1"/>
  <c r="GK19" i="1"/>
  <c r="GK17" i="1"/>
  <c r="GK15" i="1"/>
  <c r="GK13" i="1"/>
  <c r="GK11" i="1"/>
  <c r="GK9" i="1"/>
  <c r="GK7" i="1"/>
  <c r="AF33" i="4" l="1"/>
  <c r="AG33" i="4"/>
  <c r="AM33" i="4"/>
  <c r="AL33" i="4"/>
  <c r="AK33" i="4"/>
  <c r="G23" i="16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23" i="17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C24" i="1"/>
  <c r="GC25" i="1"/>
  <c r="GC26" i="1"/>
  <c r="GC27" i="1"/>
  <c r="GD27" i="1" s="1"/>
  <c r="GC28" i="1"/>
  <c r="GC29" i="1"/>
  <c r="GC30" i="1"/>
  <c r="GC31" i="1"/>
  <c r="GD31" i="1" s="1"/>
  <c r="GC32" i="1"/>
  <c r="GC33" i="1"/>
  <c r="GC34" i="1"/>
  <c r="GC35" i="1"/>
  <c r="GD35" i="1" s="1"/>
  <c r="GC36" i="1"/>
  <c r="GC37" i="1"/>
  <c r="GC23" i="1"/>
  <c r="GC7" i="1"/>
  <c r="GC8" i="1"/>
  <c r="GC9" i="1"/>
  <c r="GC10" i="1"/>
  <c r="GD10" i="1" s="1"/>
  <c r="GC11" i="1"/>
  <c r="GC12" i="1"/>
  <c r="GC13" i="1"/>
  <c r="GC14" i="1"/>
  <c r="GD14" i="1" s="1"/>
  <c r="GC15" i="1"/>
  <c r="GC16" i="1"/>
  <c r="GC17" i="1"/>
  <c r="GC18" i="1"/>
  <c r="GD18" i="1" s="1"/>
  <c r="GC19" i="1"/>
  <c r="GC20" i="1"/>
  <c r="GC6" i="1"/>
  <c r="GC22" i="1"/>
  <c r="GC5" i="1"/>
  <c r="GD37" i="1"/>
  <c r="GD36" i="1"/>
  <c r="GD34" i="1"/>
  <c r="GD33" i="1"/>
  <c r="GD32" i="1"/>
  <c r="GD30" i="1"/>
  <c r="GD29" i="1"/>
  <c r="GD28" i="1"/>
  <c r="GD26" i="1"/>
  <c r="GD25" i="1"/>
  <c r="GD24" i="1"/>
  <c r="GD23" i="1"/>
  <c r="GD20" i="1"/>
  <c r="GD19" i="1"/>
  <c r="GD17" i="1"/>
  <c r="GD16" i="1"/>
  <c r="GD15" i="1"/>
  <c r="GD13" i="1"/>
  <c r="GD12" i="1"/>
  <c r="GD11" i="1"/>
  <c r="GD9" i="1"/>
  <c r="GD8" i="1"/>
  <c r="GD7" i="1"/>
  <c r="GD6" i="1"/>
  <c r="AM34" i="4" l="1"/>
  <c r="AF34" i="4" s="1"/>
  <c r="AL34" i="4"/>
  <c r="AK34" i="4"/>
  <c r="AG34" i="4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I28" i="16"/>
  <c r="H23" i="16"/>
  <c r="H23" i="17"/>
  <c r="FV24" i="1" l="1"/>
  <c r="FV25" i="1"/>
  <c r="FW25" i="1" s="1"/>
  <c r="FV26" i="1"/>
  <c r="FV27" i="1"/>
  <c r="FW27" i="1" s="1"/>
  <c r="FV28" i="1"/>
  <c r="FV29" i="1"/>
  <c r="FW29" i="1" s="1"/>
  <c r="FV30" i="1"/>
  <c r="FV31" i="1"/>
  <c r="FW31" i="1" s="1"/>
  <c r="FV32" i="1"/>
  <c r="FV33" i="1"/>
  <c r="FW33" i="1" s="1"/>
  <c r="FV34" i="1"/>
  <c r="FV35" i="1"/>
  <c r="FW35" i="1" s="1"/>
  <c r="FV36" i="1"/>
  <c r="FV37" i="1"/>
  <c r="FW37" i="1" s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3" i="1"/>
  <c r="FV6" i="1"/>
  <c r="FW6" i="1" s="1"/>
  <c r="FV22" i="1"/>
  <c r="FV5" i="1"/>
  <c r="FW36" i="1"/>
  <c r="FW34" i="1"/>
  <c r="FW32" i="1"/>
  <c r="FW30" i="1"/>
  <c r="FW28" i="1"/>
  <c r="FW26" i="1"/>
  <c r="FW24" i="1"/>
  <c r="FW23" i="1"/>
  <c r="FW20" i="1"/>
  <c r="FW19" i="1"/>
  <c r="FW18" i="1"/>
  <c r="FW17" i="1"/>
  <c r="FW16" i="1"/>
  <c r="FW15" i="1"/>
  <c r="FW14" i="1"/>
  <c r="FW13" i="1"/>
  <c r="FW12" i="1"/>
  <c r="FW11" i="1"/>
  <c r="FW10" i="1"/>
  <c r="FW9" i="1"/>
  <c r="FW8" i="1"/>
  <c r="FW7" i="1"/>
  <c r="J23" i="16" l="1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J23" i="17"/>
  <c r="K23" i="17"/>
  <c r="L23" i="17"/>
  <c r="M23" i="17"/>
  <c r="N23" i="17"/>
  <c r="O23" i="17"/>
  <c r="P23" i="17"/>
  <c r="Q23" i="17"/>
  <c r="E24" i="17" s="1"/>
  <c r="R23" i="17"/>
  <c r="F24" i="17" s="1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I23" i="17"/>
  <c r="AB27" i="17"/>
  <c r="AC27" i="17"/>
  <c r="AD27" i="17"/>
  <c r="AE27" i="17"/>
  <c r="AF27" i="17"/>
  <c r="AB28" i="17"/>
  <c r="AC28" i="17"/>
  <c r="AD28" i="17"/>
  <c r="AE28" i="17"/>
  <c r="AF28" i="17"/>
  <c r="AB29" i="17"/>
  <c r="AC29" i="17"/>
  <c r="AD29" i="17"/>
  <c r="AE29" i="17"/>
  <c r="AF29" i="17"/>
  <c r="AB30" i="17"/>
  <c r="AC30" i="17"/>
  <c r="AD30" i="17"/>
  <c r="AE30" i="17"/>
  <c r="AF30" i="17"/>
  <c r="AB31" i="17"/>
  <c r="AC31" i="17"/>
  <c r="AD31" i="17"/>
  <c r="AE31" i="17"/>
  <c r="AF31" i="17"/>
  <c r="AB32" i="17"/>
  <c r="AC32" i="17"/>
  <c r="AD32" i="17"/>
  <c r="AE32" i="17"/>
  <c r="AF32" i="17"/>
  <c r="AB33" i="17"/>
  <c r="AC33" i="17"/>
  <c r="AD33" i="17"/>
  <c r="AE33" i="17"/>
  <c r="AF33" i="17"/>
  <c r="AB34" i="17"/>
  <c r="AC34" i="17"/>
  <c r="AD34" i="17"/>
  <c r="AE34" i="17"/>
  <c r="AF34" i="17"/>
  <c r="AB35" i="17"/>
  <c r="AC35" i="17"/>
  <c r="AD35" i="17"/>
  <c r="AE35" i="17"/>
  <c r="AF35" i="17"/>
  <c r="AB36" i="17"/>
  <c r="AC36" i="17"/>
  <c r="AD36" i="17"/>
  <c r="AE36" i="17"/>
  <c r="AF36" i="17"/>
  <c r="AB37" i="17"/>
  <c r="AC37" i="17"/>
  <c r="AD37" i="17"/>
  <c r="AE37" i="17"/>
  <c r="AF37" i="17"/>
  <c r="AB38" i="17"/>
  <c r="AC38" i="17"/>
  <c r="AD38" i="17"/>
  <c r="AE38" i="17"/>
  <c r="AF38" i="17"/>
  <c r="AB39" i="17"/>
  <c r="AC39" i="17"/>
  <c r="AD39" i="17"/>
  <c r="AE39" i="17"/>
  <c r="AF39" i="17"/>
  <c r="AB40" i="17"/>
  <c r="AC40" i="17"/>
  <c r="AD40" i="17"/>
  <c r="AE40" i="17"/>
  <c r="AF40" i="17"/>
  <c r="AB41" i="17"/>
  <c r="AC41" i="17"/>
  <c r="AD41" i="17"/>
  <c r="AE41" i="17"/>
  <c r="AF41" i="17"/>
  <c r="AB42" i="17"/>
  <c r="AC42" i="17"/>
  <c r="AD42" i="17"/>
  <c r="AE42" i="17"/>
  <c r="AF42" i="17"/>
  <c r="AB43" i="17"/>
  <c r="AC43" i="17"/>
  <c r="AD43" i="17"/>
  <c r="AE43" i="17"/>
  <c r="AF43" i="17"/>
  <c r="AB44" i="17"/>
  <c r="AC44" i="17"/>
  <c r="AD44" i="17"/>
  <c r="AE44" i="17"/>
  <c r="AF44" i="17"/>
  <c r="AB45" i="17"/>
  <c r="AC45" i="17"/>
  <c r="AD45" i="17"/>
  <c r="AE45" i="17"/>
  <c r="AF45" i="17"/>
  <c r="AB46" i="17"/>
  <c r="AC46" i="17"/>
  <c r="AD46" i="17"/>
  <c r="AE46" i="17"/>
  <c r="AF46" i="17"/>
  <c r="Q27" i="17"/>
  <c r="R27" i="17"/>
  <c r="S27" i="17"/>
  <c r="T27" i="17"/>
  <c r="U27" i="17"/>
  <c r="V27" i="17"/>
  <c r="W27" i="17"/>
  <c r="X27" i="17"/>
  <c r="Y27" i="17"/>
  <c r="Z27" i="17"/>
  <c r="AA27" i="17"/>
  <c r="Q28" i="17"/>
  <c r="R28" i="17"/>
  <c r="S28" i="17"/>
  <c r="T28" i="17"/>
  <c r="U28" i="17"/>
  <c r="V28" i="17"/>
  <c r="W28" i="17"/>
  <c r="X28" i="17"/>
  <c r="Y28" i="17"/>
  <c r="Z28" i="17"/>
  <c r="AA28" i="17"/>
  <c r="Q29" i="17"/>
  <c r="R29" i="17"/>
  <c r="S29" i="17"/>
  <c r="T29" i="17"/>
  <c r="U29" i="17"/>
  <c r="V29" i="17"/>
  <c r="W29" i="17"/>
  <c r="X29" i="17"/>
  <c r="Y29" i="17"/>
  <c r="Z29" i="17"/>
  <c r="AA29" i="17"/>
  <c r="Q30" i="17"/>
  <c r="R30" i="17"/>
  <c r="S30" i="17"/>
  <c r="T30" i="17"/>
  <c r="U30" i="17"/>
  <c r="V30" i="17"/>
  <c r="W30" i="17"/>
  <c r="X30" i="17"/>
  <c r="Y30" i="17"/>
  <c r="Z30" i="17"/>
  <c r="AA30" i="17"/>
  <c r="Q31" i="17"/>
  <c r="R31" i="17"/>
  <c r="S31" i="17"/>
  <c r="T31" i="17"/>
  <c r="U31" i="17"/>
  <c r="V31" i="17"/>
  <c r="W31" i="17"/>
  <c r="X31" i="17"/>
  <c r="Y31" i="17"/>
  <c r="Z31" i="17"/>
  <c r="AA31" i="17"/>
  <c r="Q32" i="17"/>
  <c r="R32" i="17"/>
  <c r="S32" i="17"/>
  <c r="T32" i="17"/>
  <c r="U32" i="17"/>
  <c r="V32" i="17"/>
  <c r="W32" i="17"/>
  <c r="X32" i="17"/>
  <c r="Y32" i="17"/>
  <c r="Z32" i="17"/>
  <c r="AA32" i="17"/>
  <c r="Q33" i="17"/>
  <c r="R33" i="17"/>
  <c r="S33" i="17"/>
  <c r="T33" i="17"/>
  <c r="U33" i="17"/>
  <c r="V33" i="17"/>
  <c r="W33" i="17"/>
  <c r="X33" i="17"/>
  <c r="Y33" i="17"/>
  <c r="Z33" i="17"/>
  <c r="AA33" i="17"/>
  <c r="Q34" i="17"/>
  <c r="R34" i="17"/>
  <c r="S34" i="17"/>
  <c r="T34" i="17"/>
  <c r="U34" i="17"/>
  <c r="V34" i="17"/>
  <c r="W34" i="17"/>
  <c r="X34" i="17"/>
  <c r="Y34" i="17"/>
  <c r="Z34" i="17"/>
  <c r="AA34" i="17"/>
  <c r="Q35" i="17"/>
  <c r="R35" i="17"/>
  <c r="S35" i="17"/>
  <c r="T35" i="17"/>
  <c r="U35" i="17"/>
  <c r="V35" i="17"/>
  <c r="W35" i="17"/>
  <c r="X35" i="17"/>
  <c r="Y35" i="17"/>
  <c r="Z35" i="17"/>
  <c r="AA35" i="17"/>
  <c r="Q36" i="17"/>
  <c r="R36" i="17"/>
  <c r="S36" i="17"/>
  <c r="T36" i="17"/>
  <c r="U36" i="17"/>
  <c r="V36" i="17"/>
  <c r="W36" i="17"/>
  <c r="X36" i="17"/>
  <c r="Y36" i="17"/>
  <c r="Z36" i="17"/>
  <c r="AA36" i="17"/>
  <c r="Q37" i="17"/>
  <c r="R37" i="17"/>
  <c r="S37" i="17"/>
  <c r="T37" i="17"/>
  <c r="U37" i="17"/>
  <c r="V37" i="17"/>
  <c r="W37" i="17"/>
  <c r="X37" i="17"/>
  <c r="Y37" i="17"/>
  <c r="Z37" i="17"/>
  <c r="AA37" i="17"/>
  <c r="Q38" i="17"/>
  <c r="R38" i="17"/>
  <c r="S38" i="17"/>
  <c r="T38" i="17"/>
  <c r="U38" i="17"/>
  <c r="V38" i="17"/>
  <c r="W38" i="17"/>
  <c r="X38" i="17"/>
  <c r="Y38" i="17"/>
  <c r="Z38" i="17"/>
  <c r="AA38" i="17"/>
  <c r="Q39" i="17"/>
  <c r="R39" i="17"/>
  <c r="S39" i="17"/>
  <c r="T39" i="17"/>
  <c r="U39" i="17"/>
  <c r="V39" i="17"/>
  <c r="W39" i="17"/>
  <c r="X39" i="17"/>
  <c r="Y39" i="17"/>
  <c r="Z39" i="17"/>
  <c r="AA39" i="17"/>
  <c r="Q40" i="17"/>
  <c r="R40" i="17"/>
  <c r="S40" i="17"/>
  <c r="T40" i="17"/>
  <c r="U40" i="17"/>
  <c r="V40" i="17"/>
  <c r="W40" i="17"/>
  <c r="X40" i="17"/>
  <c r="Y40" i="17"/>
  <c r="Z40" i="17"/>
  <c r="AA40" i="17"/>
  <c r="Q41" i="17"/>
  <c r="R41" i="17"/>
  <c r="S41" i="17"/>
  <c r="T41" i="17"/>
  <c r="U41" i="17"/>
  <c r="V41" i="17"/>
  <c r="W41" i="17"/>
  <c r="X41" i="17"/>
  <c r="Y41" i="17"/>
  <c r="Z41" i="17"/>
  <c r="AA41" i="17"/>
  <c r="Q42" i="17"/>
  <c r="R42" i="17"/>
  <c r="S42" i="17"/>
  <c r="T42" i="17"/>
  <c r="U42" i="17"/>
  <c r="V42" i="17"/>
  <c r="W42" i="17"/>
  <c r="X42" i="17"/>
  <c r="Y42" i="17"/>
  <c r="Z42" i="17"/>
  <c r="AA42" i="17"/>
  <c r="Q43" i="17"/>
  <c r="R43" i="17"/>
  <c r="S43" i="17"/>
  <c r="T43" i="17"/>
  <c r="U43" i="17"/>
  <c r="V43" i="17"/>
  <c r="W43" i="17"/>
  <c r="X43" i="17"/>
  <c r="Y43" i="17"/>
  <c r="Z43" i="17"/>
  <c r="AA43" i="17"/>
  <c r="Q44" i="17"/>
  <c r="R44" i="17"/>
  <c r="S44" i="17"/>
  <c r="T44" i="17"/>
  <c r="U44" i="17"/>
  <c r="V44" i="17"/>
  <c r="W44" i="17"/>
  <c r="X44" i="17"/>
  <c r="Y44" i="17"/>
  <c r="Z44" i="17"/>
  <c r="AA44" i="17"/>
  <c r="Q45" i="17"/>
  <c r="R45" i="17"/>
  <c r="S45" i="17"/>
  <c r="T45" i="17"/>
  <c r="U45" i="17"/>
  <c r="V45" i="17"/>
  <c r="W45" i="17"/>
  <c r="X45" i="17"/>
  <c r="Y45" i="17"/>
  <c r="Z45" i="17"/>
  <c r="AA45" i="17"/>
  <c r="Q46" i="17"/>
  <c r="R46" i="17"/>
  <c r="S46" i="17"/>
  <c r="T46" i="17"/>
  <c r="U46" i="17"/>
  <c r="V46" i="17"/>
  <c r="W46" i="17"/>
  <c r="X46" i="17"/>
  <c r="Y46" i="17"/>
  <c r="Z46" i="17"/>
  <c r="AA46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27" i="17"/>
  <c r="I23" i="16"/>
  <c r="J28" i="16"/>
  <c r="K28" i="16"/>
  <c r="L28" i="16"/>
  <c r="M28" i="16"/>
  <c r="N28" i="16"/>
  <c r="O28" i="16"/>
  <c r="J29" i="16"/>
  <c r="K29" i="16"/>
  <c r="L29" i="16"/>
  <c r="M29" i="16"/>
  <c r="N29" i="16"/>
  <c r="O29" i="16"/>
  <c r="J30" i="16"/>
  <c r="K30" i="16"/>
  <c r="L30" i="16"/>
  <c r="M30" i="16"/>
  <c r="N30" i="16"/>
  <c r="O30" i="16"/>
  <c r="J31" i="16"/>
  <c r="K31" i="16"/>
  <c r="L31" i="16"/>
  <c r="M31" i="16"/>
  <c r="N31" i="16"/>
  <c r="O31" i="16"/>
  <c r="J32" i="16"/>
  <c r="K32" i="16"/>
  <c r="L32" i="16"/>
  <c r="M32" i="16"/>
  <c r="N32" i="16"/>
  <c r="O32" i="16"/>
  <c r="J33" i="16"/>
  <c r="K33" i="16"/>
  <c r="L33" i="16"/>
  <c r="M33" i="16"/>
  <c r="N33" i="16"/>
  <c r="O33" i="16"/>
  <c r="J34" i="16"/>
  <c r="K34" i="16"/>
  <c r="L34" i="16"/>
  <c r="M34" i="16"/>
  <c r="N34" i="16"/>
  <c r="O34" i="16"/>
  <c r="J35" i="16"/>
  <c r="K35" i="16"/>
  <c r="L35" i="16"/>
  <c r="M35" i="16"/>
  <c r="N35" i="16"/>
  <c r="O35" i="16"/>
  <c r="J36" i="16"/>
  <c r="K36" i="16"/>
  <c r="L36" i="16"/>
  <c r="M36" i="16"/>
  <c r="N36" i="16"/>
  <c r="O36" i="16"/>
  <c r="J37" i="16"/>
  <c r="K37" i="16"/>
  <c r="L37" i="16"/>
  <c r="M37" i="16"/>
  <c r="N37" i="16"/>
  <c r="O37" i="16"/>
  <c r="J38" i="16"/>
  <c r="K38" i="16"/>
  <c r="L38" i="16"/>
  <c r="M38" i="16"/>
  <c r="N38" i="16"/>
  <c r="O38" i="16"/>
  <c r="J39" i="16"/>
  <c r="K39" i="16"/>
  <c r="L39" i="16"/>
  <c r="M39" i="16"/>
  <c r="N39" i="16"/>
  <c r="O39" i="16"/>
  <c r="J40" i="16"/>
  <c r="K40" i="16"/>
  <c r="L40" i="16"/>
  <c r="M40" i="16"/>
  <c r="N40" i="16"/>
  <c r="O40" i="16"/>
  <c r="J41" i="16"/>
  <c r="K41" i="16"/>
  <c r="L41" i="16"/>
  <c r="M41" i="16"/>
  <c r="N41" i="16"/>
  <c r="O41" i="16"/>
  <c r="J42" i="16"/>
  <c r="K42" i="16"/>
  <c r="L42" i="16"/>
  <c r="M42" i="16"/>
  <c r="N42" i="16"/>
  <c r="O42" i="16"/>
  <c r="J43" i="16"/>
  <c r="K43" i="16"/>
  <c r="L43" i="16"/>
  <c r="M43" i="16"/>
  <c r="N43" i="16"/>
  <c r="O43" i="16"/>
  <c r="J44" i="16"/>
  <c r="K44" i="16"/>
  <c r="L44" i="16"/>
  <c r="M44" i="16"/>
  <c r="N44" i="16"/>
  <c r="O44" i="16"/>
  <c r="J45" i="16"/>
  <c r="K45" i="16"/>
  <c r="L45" i="16"/>
  <c r="M45" i="16"/>
  <c r="N45" i="16"/>
  <c r="O45" i="16"/>
  <c r="J46" i="16"/>
  <c r="K46" i="16"/>
  <c r="L46" i="16"/>
  <c r="M46" i="16"/>
  <c r="N46" i="16"/>
  <c r="O46" i="16"/>
  <c r="J47" i="16"/>
  <c r="K47" i="16"/>
  <c r="L47" i="16"/>
  <c r="M47" i="16"/>
  <c r="N47" i="16"/>
  <c r="O47" i="16"/>
  <c r="I47" i="16"/>
  <c r="I46" i="16"/>
  <c r="I45" i="16"/>
  <c r="I44" i="16"/>
  <c r="I43" i="16"/>
  <c r="R43" i="16" s="1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7"/>
  <c r="J28" i="17"/>
  <c r="K28" i="17"/>
  <c r="L28" i="17"/>
  <c r="M28" i="17"/>
  <c r="N28" i="17"/>
  <c r="O28" i="17"/>
  <c r="AG28" i="17"/>
  <c r="AH28" i="17"/>
  <c r="AI28" i="17"/>
  <c r="AJ28" i="17"/>
  <c r="AK28" i="17"/>
  <c r="AL28" i="17"/>
  <c r="AM28" i="17"/>
  <c r="I29" i="17"/>
  <c r="J29" i="17"/>
  <c r="K29" i="17"/>
  <c r="L29" i="17"/>
  <c r="M29" i="17"/>
  <c r="N29" i="17"/>
  <c r="O29" i="17"/>
  <c r="AG29" i="17"/>
  <c r="AH29" i="17"/>
  <c r="AI29" i="17"/>
  <c r="AJ29" i="17"/>
  <c r="AK29" i="17"/>
  <c r="AL29" i="17"/>
  <c r="AM29" i="17"/>
  <c r="I30" i="17"/>
  <c r="J30" i="17"/>
  <c r="K30" i="17"/>
  <c r="L30" i="17"/>
  <c r="M30" i="17"/>
  <c r="N30" i="17"/>
  <c r="O30" i="17"/>
  <c r="AG30" i="17"/>
  <c r="AH30" i="17"/>
  <c r="AI30" i="17"/>
  <c r="AJ30" i="17"/>
  <c r="AK30" i="17"/>
  <c r="AL30" i="17"/>
  <c r="AM30" i="17"/>
  <c r="I31" i="17"/>
  <c r="J31" i="17"/>
  <c r="K31" i="17"/>
  <c r="L31" i="17"/>
  <c r="M31" i="17"/>
  <c r="N31" i="17"/>
  <c r="O31" i="17"/>
  <c r="AG31" i="17"/>
  <c r="AH31" i="17"/>
  <c r="AI31" i="17"/>
  <c r="AJ31" i="17"/>
  <c r="AK31" i="17"/>
  <c r="AL31" i="17"/>
  <c r="AM31" i="17"/>
  <c r="I32" i="17"/>
  <c r="J32" i="17"/>
  <c r="K32" i="17"/>
  <c r="L32" i="17"/>
  <c r="M32" i="17"/>
  <c r="N32" i="17"/>
  <c r="O32" i="17"/>
  <c r="AG32" i="17"/>
  <c r="AH32" i="17"/>
  <c r="AI32" i="17"/>
  <c r="AJ32" i="17"/>
  <c r="AK32" i="17"/>
  <c r="AL32" i="17"/>
  <c r="AM32" i="17"/>
  <c r="I33" i="17"/>
  <c r="J33" i="17"/>
  <c r="K33" i="17"/>
  <c r="L33" i="17"/>
  <c r="M33" i="17"/>
  <c r="N33" i="17"/>
  <c r="O33" i="17"/>
  <c r="AG33" i="17"/>
  <c r="AH33" i="17"/>
  <c r="AI33" i="17"/>
  <c r="AJ33" i="17"/>
  <c r="AK33" i="17"/>
  <c r="AL33" i="17"/>
  <c r="AM33" i="17"/>
  <c r="I34" i="17"/>
  <c r="J34" i="17"/>
  <c r="K34" i="17"/>
  <c r="L34" i="17"/>
  <c r="M34" i="17"/>
  <c r="N34" i="17"/>
  <c r="O34" i="17"/>
  <c r="AG34" i="17"/>
  <c r="AH34" i="17"/>
  <c r="AI34" i="17"/>
  <c r="AJ34" i="17"/>
  <c r="AK34" i="17"/>
  <c r="AL34" i="17"/>
  <c r="AM34" i="17"/>
  <c r="I35" i="17"/>
  <c r="J35" i="17"/>
  <c r="K35" i="17"/>
  <c r="L35" i="17"/>
  <c r="M35" i="17"/>
  <c r="N35" i="17"/>
  <c r="O35" i="17"/>
  <c r="AG35" i="17"/>
  <c r="AH35" i="17"/>
  <c r="AI35" i="17"/>
  <c r="AJ35" i="17"/>
  <c r="AK35" i="17"/>
  <c r="AL35" i="17"/>
  <c r="AM35" i="17"/>
  <c r="I36" i="17"/>
  <c r="J36" i="17"/>
  <c r="K36" i="17"/>
  <c r="L36" i="17"/>
  <c r="M36" i="17"/>
  <c r="N36" i="17"/>
  <c r="O36" i="17"/>
  <c r="AG36" i="17"/>
  <c r="AH36" i="17"/>
  <c r="AI36" i="17"/>
  <c r="AJ36" i="17"/>
  <c r="AK36" i="17"/>
  <c r="AL36" i="17"/>
  <c r="AM36" i="17"/>
  <c r="I37" i="17"/>
  <c r="J37" i="17"/>
  <c r="K37" i="17"/>
  <c r="L37" i="17"/>
  <c r="M37" i="17"/>
  <c r="N37" i="17"/>
  <c r="O37" i="17"/>
  <c r="AG37" i="17"/>
  <c r="AH37" i="17"/>
  <c r="AI37" i="17"/>
  <c r="AJ37" i="17"/>
  <c r="AK37" i="17"/>
  <c r="AL37" i="17"/>
  <c r="AM37" i="17"/>
  <c r="I38" i="17"/>
  <c r="J38" i="17"/>
  <c r="K38" i="17"/>
  <c r="L38" i="17"/>
  <c r="M38" i="17"/>
  <c r="N38" i="17"/>
  <c r="O38" i="17"/>
  <c r="AG38" i="17"/>
  <c r="AH38" i="17"/>
  <c r="AI38" i="17"/>
  <c r="AJ38" i="17"/>
  <c r="AK38" i="17"/>
  <c r="AL38" i="17"/>
  <c r="AM38" i="17"/>
  <c r="I39" i="17"/>
  <c r="J39" i="17"/>
  <c r="K39" i="17"/>
  <c r="L39" i="17"/>
  <c r="M39" i="17"/>
  <c r="N39" i="17"/>
  <c r="O39" i="17"/>
  <c r="AG39" i="17"/>
  <c r="AH39" i="17"/>
  <c r="AI39" i="17"/>
  <c r="AJ39" i="17"/>
  <c r="AK39" i="17"/>
  <c r="AL39" i="17"/>
  <c r="AM39" i="17"/>
  <c r="I40" i="17"/>
  <c r="J40" i="17"/>
  <c r="K40" i="17"/>
  <c r="L40" i="17"/>
  <c r="M40" i="17"/>
  <c r="N40" i="17"/>
  <c r="O40" i="17"/>
  <c r="AG40" i="17"/>
  <c r="AH40" i="17"/>
  <c r="AI40" i="17"/>
  <c r="AJ40" i="17"/>
  <c r="AK40" i="17"/>
  <c r="AL40" i="17"/>
  <c r="AM40" i="17"/>
  <c r="I41" i="17"/>
  <c r="J41" i="17"/>
  <c r="K41" i="17"/>
  <c r="L41" i="17"/>
  <c r="M41" i="17"/>
  <c r="N41" i="17"/>
  <c r="O41" i="17"/>
  <c r="AG41" i="17"/>
  <c r="AH41" i="17"/>
  <c r="AI41" i="17"/>
  <c r="AJ41" i="17"/>
  <c r="AK41" i="17"/>
  <c r="AL41" i="17"/>
  <c r="AM41" i="17"/>
  <c r="I42" i="17"/>
  <c r="J42" i="17"/>
  <c r="K42" i="17"/>
  <c r="L42" i="17"/>
  <c r="M42" i="17"/>
  <c r="N42" i="17"/>
  <c r="O42" i="17"/>
  <c r="AG42" i="17"/>
  <c r="AH42" i="17"/>
  <c r="AI42" i="17"/>
  <c r="AJ42" i="17"/>
  <c r="AK42" i="17"/>
  <c r="AL42" i="17"/>
  <c r="AM42" i="17"/>
  <c r="I43" i="17"/>
  <c r="J43" i="17"/>
  <c r="K43" i="17"/>
  <c r="L43" i="17"/>
  <c r="M43" i="17"/>
  <c r="N43" i="17"/>
  <c r="O43" i="17"/>
  <c r="AG43" i="17"/>
  <c r="AH43" i="17"/>
  <c r="AI43" i="17"/>
  <c r="AJ43" i="17"/>
  <c r="AK43" i="17"/>
  <c r="AL43" i="17"/>
  <c r="AM43" i="17"/>
  <c r="I44" i="17"/>
  <c r="J44" i="17"/>
  <c r="K44" i="17"/>
  <c r="L44" i="17"/>
  <c r="M44" i="17"/>
  <c r="N44" i="17"/>
  <c r="O44" i="17"/>
  <c r="AG44" i="17"/>
  <c r="AH44" i="17"/>
  <c r="AI44" i="17"/>
  <c r="AJ44" i="17"/>
  <c r="AK44" i="17"/>
  <c r="AL44" i="17"/>
  <c r="AM44" i="17"/>
  <c r="I45" i="17"/>
  <c r="J45" i="17"/>
  <c r="K45" i="17"/>
  <c r="L45" i="17"/>
  <c r="M45" i="17"/>
  <c r="N45" i="17"/>
  <c r="O45" i="17"/>
  <c r="AG45" i="17"/>
  <c r="AH45" i="17"/>
  <c r="AI45" i="17"/>
  <c r="AJ45" i="17"/>
  <c r="AK45" i="17"/>
  <c r="AL45" i="17"/>
  <c r="AM45" i="17"/>
  <c r="I46" i="17"/>
  <c r="J46" i="17"/>
  <c r="K46" i="17"/>
  <c r="L46" i="17"/>
  <c r="M46" i="17"/>
  <c r="N46" i="17"/>
  <c r="O46" i="17"/>
  <c r="AG46" i="17"/>
  <c r="AH46" i="17"/>
  <c r="AI46" i="17"/>
  <c r="AJ46" i="17"/>
  <c r="AK46" i="17"/>
  <c r="AL46" i="17"/>
  <c r="AM46" i="17"/>
  <c r="AM27" i="17"/>
  <c r="AL27" i="17"/>
  <c r="AK27" i="17"/>
  <c r="AJ27" i="17"/>
  <c r="AI27" i="17"/>
  <c r="AH27" i="17"/>
  <c r="AG27" i="17"/>
  <c r="O27" i="17"/>
  <c r="N27" i="17"/>
  <c r="M27" i="17"/>
  <c r="L27" i="17"/>
  <c r="K27" i="17"/>
  <c r="J27" i="17"/>
  <c r="I27" i="17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Q76" i="16"/>
  <c r="R76" i="16"/>
  <c r="S76" i="16"/>
  <c r="T76" i="16"/>
  <c r="Q77" i="16"/>
  <c r="R77" i="16"/>
  <c r="S77" i="16"/>
  <c r="T77" i="16"/>
  <c r="Q78" i="16"/>
  <c r="R78" i="16"/>
  <c r="S78" i="16"/>
  <c r="T78" i="16"/>
  <c r="Q79" i="16"/>
  <c r="R79" i="16"/>
  <c r="S79" i="16"/>
  <c r="T79" i="16"/>
  <c r="Q80" i="16"/>
  <c r="R80" i="16"/>
  <c r="S80" i="16"/>
  <c r="T80" i="16"/>
  <c r="Q81" i="16"/>
  <c r="R81" i="16"/>
  <c r="S81" i="16"/>
  <c r="T81" i="16"/>
  <c r="Q82" i="16"/>
  <c r="R82" i="16"/>
  <c r="S82" i="16"/>
  <c r="T82" i="16"/>
  <c r="Q83" i="16"/>
  <c r="R83" i="16"/>
  <c r="S83" i="16"/>
  <c r="T83" i="16"/>
  <c r="Q84" i="16"/>
  <c r="R84" i="16"/>
  <c r="S84" i="16"/>
  <c r="T84" i="16"/>
  <c r="Q85" i="16"/>
  <c r="R85" i="16"/>
  <c r="S85" i="16"/>
  <c r="T85" i="16"/>
  <c r="Q86" i="16"/>
  <c r="R86" i="16"/>
  <c r="S86" i="16"/>
  <c r="T86" i="16"/>
  <c r="Q87" i="16"/>
  <c r="R87" i="16"/>
  <c r="S87" i="16"/>
  <c r="T87" i="16"/>
  <c r="Q88" i="16"/>
  <c r="R88" i="16"/>
  <c r="S88" i="16"/>
  <c r="T88" i="16"/>
  <c r="Q89" i="16"/>
  <c r="R89" i="16"/>
  <c r="S89" i="16"/>
  <c r="T89" i="16"/>
  <c r="Q90" i="16"/>
  <c r="R90" i="16"/>
  <c r="S90" i="16"/>
  <c r="T90" i="16"/>
  <c r="Q91" i="16"/>
  <c r="R91" i="16"/>
  <c r="S91" i="16"/>
  <c r="T91" i="16"/>
  <c r="Q92" i="16"/>
  <c r="R92" i="16"/>
  <c r="S92" i="16"/>
  <c r="T92" i="16"/>
  <c r="Q93" i="16"/>
  <c r="R93" i="16"/>
  <c r="S93" i="16"/>
  <c r="T93" i="16"/>
  <c r="Q94" i="16"/>
  <c r="R94" i="16"/>
  <c r="S94" i="16"/>
  <c r="T94" i="16"/>
  <c r="Q95" i="16"/>
  <c r="R95" i="16"/>
  <c r="S95" i="16"/>
  <c r="T95" i="16"/>
  <c r="J76" i="16"/>
  <c r="K76" i="16"/>
  <c r="L76" i="16"/>
  <c r="M76" i="16"/>
  <c r="N76" i="16"/>
  <c r="O76" i="16"/>
  <c r="P76" i="16"/>
  <c r="J77" i="16"/>
  <c r="K77" i="16"/>
  <c r="L77" i="16"/>
  <c r="M77" i="16"/>
  <c r="N77" i="16"/>
  <c r="O77" i="16"/>
  <c r="P77" i="16"/>
  <c r="J78" i="16"/>
  <c r="K78" i="16"/>
  <c r="L78" i="16"/>
  <c r="M78" i="16"/>
  <c r="N78" i="16"/>
  <c r="O78" i="16"/>
  <c r="P78" i="16"/>
  <c r="J79" i="16"/>
  <c r="K79" i="16"/>
  <c r="L79" i="16"/>
  <c r="M79" i="16"/>
  <c r="N79" i="16"/>
  <c r="O79" i="16"/>
  <c r="P79" i="16"/>
  <c r="J80" i="16"/>
  <c r="K80" i="16"/>
  <c r="L80" i="16"/>
  <c r="M80" i="16"/>
  <c r="N80" i="16"/>
  <c r="O80" i="16"/>
  <c r="P80" i="16"/>
  <c r="J81" i="16"/>
  <c r="K81" i="16"/>
  <c r="L81" i="16"/>
  <c r="M81" i="16"/>
  <c r="N81" i="16"/>
  <c r="O81" i="16"/>
  <c r="P81" i="16"/>
  <c r="J82" i="16"/>
  <c r="K82" i="16"/>
  <c r="L82" i="16"/>
  <c r="M82" i="16"/>
  <c r="N82" i="16"/>
  <c r="O82" i="16"/>
  <c r="P82" i="16"/>
  <c r="J83" i="16"/>
  <c r="K83" i="16"/>
  <c r="L83" i="16"/>
  <c r="M83" i="16"/>
  <c r="N83" i="16"/>
  <c r="O83" i="16"/>
  <c r="P83" i="16"/>
  <c r="J84" i="16"/>
  <c r="K84" i="16"/>
  <c r="L84" i="16"/>
  <c r="M84" i="16"/>
  <c r="N84" i="16"/>
  <c r="O84" i="16"/>
  <c r="P84" i="16"/>
  <c r="J85" i="16"/>
  <c r="K85" i="16"/>
  <c r="L85" i="16"/>
  <c r="M85" i="16"/>
  <c r="N85" i="16"/>
  <c r="O85" i="16"/>
  <c r="P85" i="16"/>
  <c r="J86" i="16"/>
  <c r="K86" i="16"/>
  <c r="L86" i="16"/>
  <c r="M86" i="16"/>
  <c r="N86" i="16"/>
  <c r="O86" i="16"/>
  <c r="P86" i="16"/>
  <c r="J87" i="16"/>
  <c r="K87" i="16"/>
  <c r="L87" i="16"/>
  <c r="M87" i="16"/>
  <c r="N87" i="16"/>
  <c r="O87" i="16"/>
  <c r="P87" i="16"/>
  <c r="J88" i="16"/>
  <c r="K88" i="16"/>
  <c r="L88" i="16"/>
  <c r="M88" i="16"/>
  <c r="N88" i="16"/>
  <c r="O88" i="16"/>
  <c r="P88" i="16"/>
  <c r="J89" i="16"/>
  <c r="K89" i="16"/>
  <c r="L89" i="16"/>
  <c r="M89" i="16"/>
  <c r="N89" i="16"/>
  <c r="O89" i="16"/>
  <c r="P89" i="16"/>
  <c r="J90" i="16"/>
  <c r="K90" i="16"/>
  <c r="L90" i="16"/>
  <c r="M90" i="16"/>
  <c r="N90" i="16"/>
  <c r="O90" i="16"/>
  <c r="P90" i="16"/>
  <c r="J91" i="16"/>
  <c r="K91" i="16"/>
  <c r="L91" i="16"/>
  <c r="M91" i="16"/>
  <c r="N91" i="16"/>
  <c r="O91" i="16"/>
  <c r="P91" i="16"/>
  <c r="J92" i="16"/>
  <c r="K92" i="16"/>
  <c r="L92" i="16"/>
  <c r="M92" i="16"/>
  <c r="N92" i="16"/>
  <c r="O92" i="16"/>
  <c r="P92" i="16"/>
  <c r="J93" i="16"/>
  <c r="K93" i="16"/>
  <c r="L93" i="16"/>
  <c r="M93" i="16"/>
  <c r="N93" i="16"/>
  <c r="O93" i="16"/>
  <c r="P93" i="16"/>
  <c r="J94" i="16"/>
  <c r="K94" i="16"/>
  <c r="L94" i="16"/>
  <c r="M94" i="16"/>
  <c r="N94" i="16"/>
  <c r="O94" i="16"/>
  <c r="P94" i="16"/>
  <c r="J95" i="16"/>
  <c r="K95" i="16"/>
  <c r="L95" i="16"/>
  <c r="M95" i="16"/>
  <c r="N95" i="16"/>
  <c r="O95" i="16"/>
  <c r="P95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J52" i="16"/>
  <c r="K52" i="16"/>
  <c r="L52" i="16"/>
  <c r="M52" i="16"/>
  <c r="N52" i="16"/>
  <c r="O52" i="16"/>
  <c r="P52" i="16"/>
  <c r="J53" i="16"/>
  <c r="K53" i="16"/>
  <c r="L53" i="16"/>
  <c r="M53" i="16"/>
  <c r="N53" i="16"/>
  <c r="O53" i="16"/>
  <c r="P53" i="16"/>
  <c r="J54" i="16"/>
  <c r="K54" i="16"/>
  <c r="L54" i="16"/>
  <c r="M54" i="16"/>
  <c r="N54" i="16"/>
  <c r="O54" i="16"/>
  <c r="P54" i="16"/>
  <c r="J55" i="16"/>
  <c r="K55" i="16"/>
  <c r="L55" i="16"/>
  <c r="M55" i="16"/>
  <c r="N55" i="16"/>
  <c r="O55" i="16"/>
  <c r="P55" i="16"/>
  <c r="J56" i="16"/>
  <c r="K56" i="16"/>
  <c r="L56" i="16"/>
  <c r="M56" i="16"/>
  <c r="N56" i="16"/>
  <c r="O56" i="16"/>
  <c r="P56" i="16"/>
  <c r="J57" i="16"/>
  <c r="K57" i="16"/>
  <c r="L57" i="16"/>
  <c r="M57" i="16"/>
  <c r="N57" i="16"/>
  <c r="O57" i="16"/>
  <c r="P57" i="16"/>
  <c r="J58" i="16"/>
  <c r="K58" i="16"/>
  <c r="L58" i="16"/>
  <c r="M58" i="16"/>
  <c r="N58" i="16"/>
  <c r="O58" i="16"/>
  <c r="P58" i="16"/>
  <c r="J59" i="16"/>
  <c r="K59" i="16"/>
  <c r="L59" i="16"/>
  <c r="M59" i="16"/>
  <c r="N59" i="16"/>
  <c r="O59" i="16"/>
  <c r="P59" i="16"/>
  <c r="J60" i="16"/>
  <c r="K60" i="16"/>
  <c r="L60" i="16"/>
  <c r="M60" i="16"/>
  <c r="N60" i="16"/>
  <c r="O60" i="16"/>
  <c r="P60" i="16"/>
  <c r="J61" i="16"/>
  <c r="K61" i="16"/>
  <c r="L61" i="16"/>
  <c r="M61" i="16"/>
  <c r="N61" i="16"/>
  <c r="O61" i="16"/>
  <c r="P61" i="16"/>
  <c r="R61" i="16" s="1"/>
  <c r="J62" i="16"/>
  <c r="K62" i="16"/>
  <c r="L62" i="16"/>
  <c r="M62" i="16"/>
  <c r="N62" i="16"/>
  <c r="O62" i="16"/>
  <c r="P62" i="16"/>
  <c r="J63" i="16"/>
  <c r="K63" i="16"/>
  <c r="L63" i="16"/>
  <c r="M63" i="16"/>
  <c r="N63" i="16"/>
  <c r="O63" i="16"/>
  <c r="P63" i="16"/>
  <c r="J64" i="16"/>
  <c r="K64" i="16"/>
  <c r="L64" i="16"/>
  <c r="M64" i="16"/>
  <c r="N64" i="16"/>
  <c r="O64" i="16"/>
  <c r="P64" i="16"/>
  <c r="J65" i="16"/>
  <c r="K65" i="16"/>
  <c r="L65" i="16"/>
  <c r="M65" i="16"/>
  <c r="N65" i="16"/>
  <c r="O65" i="16"/>
  <c r="P65" i="16"/>
  <c r="J66" i="16"/>
  <c r="K66" i="16"/>
  <c r="L66" i="16"/>
  <c r="M66" i="16"/>
  <c r="N66" i="16"/>
  <c r="O66" i="16"/>
  <c r="P66" i="16"/>
  <c r="J67" i="16"/>
  <c r="K67" i="16"/>
  <c r="L67" i="16"/>
  <c r="M67" i="16"/>
  <c r="N67" i="16"/>
  <c r="O67" i="16"/>
  <c r="P67" i="16"/>
  <c r="J68" i="16"/>
  <c r="K68" i="16"/>
  <c r="L68" i="16"/>
  <c r="M68" i="16"/>
  <c r="N68" i="16"/>
  <c r="O68" i="16"/>
  <c r="P68" i="16"/>
  <c r="J69" i="16"/>
  <c r="K69" i="16"/>
  <c r="L69" i="16"/>
  <c r="M69" i="16"/>
  <c r="N69" i="16"/>
  <c r="O69" i="16"/>
  <c r="P69" i="16"/>
  <c r="J70" i="16"/>
  <c r="K70" i="16"/>
  <c r="L70" i="16"/>
  <c r="M70" i="16"/>
  <c r="N70" i="16"/>
  <c r="O70" i="16"/>
  <c r="P70" i="16"/>
  <c r="J71" i="16"/>
  <c r="K71" i="16"/>
  <c r="L71" i="16"/>
  <c r="M71" i="16"/>
  <c r="N71" i="16"/>
  <c r="O71" i="16"/>
  <c r="P71" i="16"/>
  <c r="I71" i="16"/>
  <c r="I70" i="16"/>
  <c r="I69" i="16"/>
  <c r="I68" i="16"/>
  <c r="I67" i="16"/>
  <c r="I66" i="16"/>
  <c r="I65" i="16"/>
  <c r="I64" i="16"/>
  <c r="I63" i="16"/>
  <c r="I62" i="16"/>
  <c r="R62" i="16" s="1"/>
  <c r="I61" i="16"/>
  <c r="I60" i="16"/>
  <c r="I59" i="16"/>
  <c r="I58" i="16"/>
  <c r="I57" i="16"/>
  <c r="I56" i="16"/>
  <c r="I55" i="16"/>
  <c r="I54" i="16"/>
  <c r="I53" i="16"/>
  <c r="I52" i="16"/>
  <c r="N24" i="17" l="1"/>
  <c r="K24" i="17"/>
  <c r="Q70" i="16"/>
  <c r="R54" i="16"/>
  <c r="Q44" i="16"/>
  <c r="R37" i="16"/>
  <c r="R63" i="16"/>
  <c r="Q41" i="16"/>
  <c r="Q60" i="16"/>
  <c r="Q64" i="16"/>
  <c r="R30" i="16"/>
  <c r="Q42" i="16"/>
  <c r="R34" i="16"/>
  <c r="Q29" i="16"/>
  <c r="R29" i="16"/>
  <c r="Q63" i="16"/>
  <c r="S63" i="16" s="1"/>
  <c r="Q65" i="16"/>
  <c r="R65" i="16"/>
  <c r="Q58" i="16"/>
  <c r="R58" i="16"/>
  <c r="Q32" i="16"/>
  <c r="Q47" i="16"/>
  <c r="R47" i="16"/>
  <c r="S47" i="16" s="1"/>
  <c r="Q39" i="16"/>
  <c r="R39" i="16"/>
  <c r="Q31" i="16"/>
  <c r="R31" i="16"/>
  <c r="Q67" i="16"/>
  <c r="R67" i="16"/>
  <c r="R60" i="16"/>
  <c r="S60" i="16" s="1"/>
  <c r="Q34" i="16"/>
  <c r="R44" i="16"/>
  <c r="R36" i="16"/>
  <c r="R28" i="16"/>
  <c r="R69" i="16"/>
  <c r="Q69" i="16"/>
  <c r="R53" i="16"/>
  <c r="Q53" i="16"/>
  <c r="R35" i="16"/>
  <c r="Q35" i="16"/>
  <c r="R52" i="16"/>
  <c r="R70" i="16"/>
  <c r="Q62" i="16"/>
  <c r="Q36" i="16"/>
  <c r="R41" i="16"/>
  <c r="Q55" i="16"/>
  <c r="Q37" i="16"/>
  <c r="R45" i="16"/>
  <c r="Q45" i="16"/>
  <c r="R55" i="16"/>
  <c r="R71" i="16"/>
  <c r="Q46" i="16"/>
  <c r="R46" i="16"/>
  <c r="R38" i="16"/>
  <c r="Q38" i="16"/>
  <c r="Q30" i="16"/>
  <c r="R33" i="16"/>
  <c r="Q33" i="16"/>
  <c r="Q71" i="16"/>
  <c r="R64" i="16"/>
  <c r="S64" i="16" s="1"/>
  <c r="Q57" i="16"/>
  <c r="R57" i="16"/>
  <c r="S57" i="16" s="1"/>
  <c r="Q28" i="16"/>
  <c r="Q54" i="16"/>
  <c r="Q56" i="16"/>
  <c r="R56" i="16"/>
  <c r="Q59" i="16"/>
  <c r="R59" i="16"/>
  <c r="S59" i="16" s="1"/>
  <c r="R66" i="16"/>
  <c r="Q66" i="16"/>
  <c r="Q43" i="16"/>
  <c r="Q61" i="16"/>
  <c r="S61" i="16" s="1"/>
  <c r="Q68" i="16"/>
  <c r="R68" i="16"/>
  <c r="Q52" i="16"/>
  <c r="R42" i="16"/>
  <c r="S42" i="16" s="1"/>
  <c r="Q40" i="16"/>
  <c r="R40" i="16"/>
  <c r="R32" i="16"/>
  <c r="AP44" i="17"/>
  <c r="AO44" i="17"/>
  <c r="AP36" i="17"/>
  <c r="AO36" i="17"/>
  <c r="AO28" i="17"/>
  <c r="AP28" i="17"/>
  <c r="J24" i="17"/>
  <c r="AP29" i="17"/>
  <c r="AO29" i="17"/>
  <c r="AP46" i="17"/>
  <c r="AO38" i="17"/>
  <c r="AP38" i="17"/>
  <c r="AO30" i="17"/>
  <c r="AP30" i="17"/>
  <c r="AP37" i="17"/>
  <c r="AQ37" i="17" s="1"/>
  <c r="AO37" i="17"/>
  <c r="AP45" i="17"/>
  <c r="AO39" i="17"/>
  <c r="AP39" i="17"/>
  <c r="AP31" i="17"/>
  <c r="AO31" i="17"/>
  <c r="G24" i="17"/>
  <c r="H24" i="17"/>
  <c r="AP40" i="17"/>
  <c r="AO40" i="17"/>
  <c r="AO32" i="17"/>
  <c r="AP32" i="17"/>
  <c r="AO46" i="17"/>
  <c r="AP27" i="17"/>
  <c r="AO27" i="17"/>
  <c r="AO45" i="17"/>
  <c r="AP41" i="17"/>
  <c r="AO41" i="17"/>
  <c r="AO33" i="17"/>
  <c r="AP33" i="17"/>
  <c r="AO42" i="17"/>
  <c r="AP42" i="17"/>
  <c r="AP34" i="17"/>
  <c r="M24" i="17"/>
  <c r="AO43" i="17"/>
  <c r="AP43" i="17"/>
  <c r="AO35" i="17"/>
  <c r="AP35" i="17"/>
  <c r="AO34" i="17"/>
  <c r="S62" i="16"/>
  <c r="S41" i="16"/>
  <c r="S31" i="16"/>
  <c r="S58" i="16"/>
  <c r="S69" i="16"/>
  <c r="AM35" i="4"/>
  <c r="AL35" i="4"/>
  <c r="AG35" i="4"/>
  <c r="AK35" i="4"/>
  <c r="S29" i="16" l="1"/>
  <c r="S56" i="16"/>
  <c r="S55" i="16"/>
  <c r="S28" i="16"/>
  <c r="AQ38" i="17"/>
  <c r="AQ28" i="17"/>
  <c r="AQ27" i="17"/>
  <c r="AQ40" i="17"/>
  <c r="AQ41" i="17"/>
  <c r="S67" i="16"/>
  <c r="S33" i="16"/>
  <c r="S52" i="16"/>
  <c r="S39" i="16"/>
  <c r="S35" i="16"/>
  <c r="S66" i="16"/>
  <c r="S68" i="16"/>
  <c r="S71" i="16"/>
  <c r="AF35" i="4"/>
  <c r="S30" i="16"/>
  <c r="S38" i="16"/>
  <c r="S46" i="16"/>
  <c r="S53" i="16"/>
  <c r="S43" i="16"/>
  <c r="S65" i="16"/>
  <c r="S54" i="16"/>
  <c r="S70" i="16"/>
  <c r="S32" i="16"/>
  <c r="S40" i="16"/>
  <c r="S34" i="16"/>
  <c r="S36" i="16"/>
  <c r="S44" i="16"/>
  <c r="S37" i="16"/>
  <c r="S45" i="16"/>
  <c r="AQ32" i="17"/>
  <c r="AQ34" i="17"/>
  <c r="AQ29" i="17"/>
  <c r="AQ42" i="17"/>
  <c r="AQ39" i="17"/>
  <c r="AQ31" i="17"/>
  <c r="AQ43" i="17"/>
  <c r="AQ33" i="17"/>
  <c r="AQ35" i="17"/>
  <c r="AQ36" i="17"/>
  <c r="AQ44" i="17"/>
  <c r="AQ30" i="17"/>
  <c r="AQ46" i="17"/>
  <c r="AQ45" i="17"/>
  <c r="FO24" i="1"/>
  <c r="FO25" i="1"/>
  <c r="FO26" i="1"/>
  <c r="FO27" i="1"/>
  <c r="FP27" i="1" s="1"/>
  <c r="FO28" i="1"/>
  <c r="FO29" i="1"/>
  <c r="FO30" i="1"/>
  <c r="FO31" i="1"/>
  <c r="FP31" i="1" s="1"/>
  <c r="FO32" i="1"/>
  <c r="FO33" i="1"/>
  <c r="FO34" i="1"/>
  <c r="FO35" i="1"/>
  <c r="FP35" i="1" s="1"/>
  <c r="FO36" i="1"/>
  <c r="FP36" i="1" s="1"/>
  <c r="FO37" i="1"/>
  <c r="FO23" i="1"/>
  <c r="FO7" i="1"/>
  <c r="FO8" i="1"/>
  <c r="FO9" i="1"/>
  <c r="FO10" i="1"/>
  <c r="FO11" i="1"/>
  <c r="FO12" i="1"/>
  <c r="FO13" i="1"/>
  <c r="FO14" i="1"/>
  <c r="FP14" i="1" s="1"/>
  <c r="FO15" i="1"/>
  <c r="FO16" i="1"/>
  <c r="FO17" i="1"/>
  <c r="FO18" i="1"/>
  <c r="FP18" i="1" s="1"/>
  <c r="FO19" i="1"/>
  <c r="FO20" i="1"/>
  <c r="FO6" i="1"/>
  <c r="FP6" i="1" s="1"/>
  <c r="FO22" i="1"/>
  <c r="FO5" i="1"/>
  <c r="FP37" i="1"/>
  <c r="FP34" i="1"/>
  <c r="FP33" i="1"/>
  <c r="FP32" i="1"/>
  <c r="FP30" i="1"/>
  <c r="FP29" i="1"/>
  <c r="FP28" i="1"/>
  <c r="FP26" i="1"/>
  <c r="FP25" i="1"/>
  <c r="FP24" i="1"/>
  <c r="FP23" i="1"/>
  <c r="FP20" i="1"/>
  <c r="FP19" i="1"/>
  <c r="FP17" i="1"/>
  <c r="FP16" i="1"/>
  <c r="FP15" i="1"/>
  <c r="FP13" i="1"/>
  <c r="FP12" i="1"/>
  <c r="FP11" i="1"/>
  <c r="FP10" i="1"/>
  <c r="FP9" i="1"/>
  <c r="FP8" i="1"/>
  <c r="FP7" i="1"/>
  <c r="AG36" i="4" l="1"/>
  <c r="AK36" i="4"/>
  <c r="AM36" i="4"/>
  <c r="AL36" i="4"/>
  <c r="AF36" i="4" s="1"/>
  <c r="FH37" i="1"/>
  <c r="FH24" i="1"/>
  <c r="FH25" i="1"/>
  <c r="FH26" i="1"/>
  <c r="FH27" i="1"/>
  <c r="FI27" i="1" s="1"/>
  <c r="FH28" i="1"/>
  <c r="FH29" i="1"/>
  <c r="FH30" i="1"/>
  <c r="FH31" i="1"/>
  <c r="FI31" i="1" s="1"/>
  <c r="FH32" i="1"/>
  <c r="FH33" i="1"/>
  <c r="FH34" i="1"/>
  <c r="FH35" i="1"/>
  <c r="FI35" i="1" s="1"/>
  <c r="FH36" i="1"/>
  <c r="FH23" i="1"/>
  <c r="FH7" i="1"/>
  <c r="FH8" i="1"/>
  <c r="FI8" i="1" s="1"/>
  <c r="FH9" i="1"/>
  <c r="FH10" i="1"/>
  <c r="FI10" i="1" s="1"/>
  <c r="FH11" i="1"/>
  <c r="FH12" i="1"/>
  <c r="FI12" i="1" s="1"/>
  <c r="FH13" i="1"/>
  <c r="FH14" i="1"/>
  <c r="FI14" i="1" s="1"/>
  <c r="FH15" i="1"/>
  <c r="FH16" i="1"/>
  <c r="FI16" i="1" s="1"/>
  <c r="FH17" i="1"/>
  <c r="FH18" i="1"/>
  <c r="FI18" i="1" s="1"/>
  <c r="FH19" i="1"/>
  <c r="FH20" i="1"/>
  <c r="FI20" i="1" s="1"/>
  <c r="FH6" i="1"/>
  <c r="FI6" i="1" s="1"/>
  <c r="FH22" i="1"/>
  <c r="FH5" i="1"/>
  <c r="FI37" i="1"/>
  <c r="FI36" i="1"/>
  <c r="FI34" i="1"/>
  <c r="FI33" i="1"/>
  <c r="FI32" i="1"/>
  <c r="FI30" i="1"/>
  <c r="FI29" i="1"/>
  <c r="FI28" i="1"/>
  <c r="FI26" i="1"/>
  <c r="FI25" i="1"/>
  <c r="FI24" i="1"/>
  <c r="FI23" i="1"/>
  <c r="FI19" i="1"/>
  <c r="FI17" i="1"/>
  <c r="FI15" i="1"/>
  <c r="FI13" i="1"/>
  <c r="FI11" i="1"/>
  <c r="FI9" i="1"/>
  <c r="FI7" i="1"/>
  <c r="AM37" i="4" l="1"/>
  <c r="AL37" i="4"/>
  <c r="AK37" i="4"/>
  <c r="AG37" i="4"/>
  <c r="AF37" i="4" l="1"/>
  <c r="FA24" i="1"/>
  <c r="FA25" i="1"/>
  <c r="FA26" i="1"/>
  <c r="FA27" i="1"/>
  <c r="FB27" i="1" s="1"/>
  <c r="FA28" i="1"/>
  <c r="FA29" i="1"/>
  <c r="FA30" i="1"/>
  <c r="FA31" i="1"/>
  <c r="FB31" i="1" s="1"/>
  <c r="FA32" i="1"/>
  <c r="FA33" i="1"/>
  <c r="FA34" i="1"/>
  <c r="FA35" i="1"/>
  <c r="FB35" i="1" s="1"/>
  <c r="FA36" i="1"/>
  <c r="FA37" i="1"/>
  <c r="FA23" i="1"/>
  <c r="FA7" i="1"/>
  <c r="FA8" i="1"/>
  <c r="FA9" i="1"/>
  <c r="FA10" i="1"/>
  <c r="FB10" i="1" s="1"/>
  <c r="FA11" i="1"/>
  <c r="FA12" i="1"/>
  <c r="FA13" i="1"/>
  <c r="FA14" i="1"/>
  <c r="FB14" i="1" s="1"/>
  <c r="FA15" i="1"/>
  <c r="FA16" i="1"/>
  <c r="FA17" i="1"/>
  <c r="FA18" i="1"/>
  <c r="FB18" i="1" s="1"/>
  <c r="FA19" i="1"/>
  <c r="FA20" i="1"/>
  <c r="FA6" i="1"/>
  <c r="FB6" i="1" s="1"/>
  <c r="FA22" i="1"/>
  <c r="FA5" i="1"/>
  <c r="FB37" i="1"/>
  <c r="FB36" i="1"/>
  <c r="FB34" i="1"/>
  <c r="FB33" i="1"/>
  <c r="FB32" i="1"/>
  <c r="FB30" i="1"/>
  <c r="FB29" i="1"/>
  <c r="FB28" i="1"/>
  <c r="FB26" i="1"/>
  <c r="FB25" i="1"/>
  <c r="FB24" i="1"/>
  <c r="FB23" i="1"/>
  <c r="FB20" i="1"/>
  <c r="FB19" i="1"/>
  <c r="FB17" i="1"/>
  <c r="FB16" i="1"/>
  <c r="FB15" i="1"/>
  <c r="FB13" i="1"/>
  <c r="FB12" i="1"/>
  <c r="FB11" i="1"/>
  <c r="FB9" i="1"/>
  <c r="FB8" i="1"/>
  <c r="FB7" i="1"/>
  <c r="AM38" i="4" l="1"/>
  <c r="AL38" i="4"/>
  <c r="AM39" i="4"/>
  <c r="AL39" i="4"/>
  <c r="AK38" i="4"/>
  <c r="AK39" i="4"/>
  <c r="AG38" i="4"/>
  <c r="AG39" i="4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23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6" i="1"/>
  <c r="ET22" i="1"/>
  <c r="ET5" i="1"/>
  <c r="AF39" i="4" l="1"/>
  <c r="AF38" i="4"/>
  <c r="EM24" i="1"/>
  <c r="EM25" i="1"/>
  <c r="EN25" i="1" s="1"/>
  <c r="EM27" i="1"/>
  <c r="EN27" i="1" s="1"/>
  <c r="EM28" i="1"/>
  <c r="EN28" i="1" s="1"/>
  <c r="EM29" i="1"/>
  <c r="EN29" i="1" s="1"/>
  <c r="EM31" i="1"/>
  <c r="EN31" i="1" s="1"/>
  <c r="EM32" i="1"/>
  <c r="EM33" i="1"/>
  <c r="EN33" i="1" s="1"/>
  <c r="EM35" i="1"/>
  <c r="EN35" i="1" s="1"/>
  <c r="EM36" i="1"/>
  <c r="EN36" i="1" s="1"/>
  <c r="EM37" i="1"/>
  <c r="EN37" i="1" s="1"/>
  <c r="EM5" i="1"/>
  <c r="EM22" i="1"/>
  <c r="EN32" i="1"/>
  <c r="EN24" i="1"/>
  <c r="EU17" i="1" l="1"/>
  <c r="EU13" i="1"/>
  <c r="EU9" i="1"/>
  <c r="EU20" i="1"/>
  <c r="EU18" i="1"/>
  <c r="EU16" i="1"/>
  <c r="EU14" i="1"/>
  <c r="EU12" i="1"/>
  <c r="EU10" i="1"/>
  <c r="EU8" i="1"/>
  <c r="EU6" i="1"/>
  <c r="EU19" i="1"/>
  <c r="EU15" i="1"/>
  <c r="EU11" i="1"/>
  <c r="EU7" i="1"/>
  <c r="EM18" i="1"/>
  <c r="EN18" i="1" s="1"/>
  <c r="EM14" i="1"/>
  <c r="EN14" i="1" s="1"/>
  <c r="EM10" i="1"/>
  <c r="EN10" i="1" s="1"/>
  <c r="EM6" i="1"/>
  <c r="EN6" i="1" s="1"/>
  <c r="EM17" i="1"/>
  <c r="EN17" i="1" s="1"/>
  <c r="EM13" i="1"/>
  <c r="EN13" i="1" s="1"/>
  <c r="EM9" i="1"/>
  <c r="EN9" i="1" s="1"/>
  <c r="EM20" i="1"/>
  <c r="EN20" i="1" s="1"/>
  <c r="EM16" i="1"/>
  <c r="EN16" i="1" s="1"/>
  <c r="EM12" i="1"/>
  <c r="EN12" i="1" s="1"/>
  <c r="EM8" i="1"/>
  <c r="EN8" i="1" s="1"/>
  <c r="EU37" i="1"/>
  <c r="EU33" i="1"/>
  <c r="EU29" i="1"/>
  <c r="EU25" i="1"/>
  <c r="EU36" i="1"/>
  <c r="EU32" i="1"/>
  <c r="EU28" i="1"/>
  <c r="EU24" i="1"/>
  <c r="EU35" i="1"/>
  <c r="EU31" i="1"/>
  <c r="EU27" i="1"/>
  <c r="EU23" i="1"/>
  <c r="EU34" i="1"/>
  <c r="EU30" i="1"/>
  <c r="EU26" i="1"/>
  <c r="EM23" i="1"/>
  <c r="EN23" i="1" s="1"/>
  <c r="EM34" i="1"/>
  <c r="EN34" i="1" s="1"/>
  <c r="EM30" i="1"/>
  <c r="EN30" i="1" s="1"/>
  <c r="EM26" i="1"/>
  <c r="EN26" i="1" s="1"/>
  <c r="EM19" i="1"/>
  <c r="EN19" i="1" s="1"/>
  <c r="EM15" i="1"/>
  <c r="EN15" i="1" s="1"/>
  <c r="EM11" i="1"/>
  <c r="EN11" i="1" s="1"/>
  <c r="EM7" i="1"/>
  <c r="EN7" i="1" s="1"/>
  <c r="G148" i="13"/>
  <c r="G122" i="13"/>
  <c r="B148" i="13"/>
  <c r="G153" i="13"/>
  <c r="B153" i="13"/>
  <c r="A153" i="13"/>
  <c r="G152" i="13"/>
  <c r="B152" i="13"/>
  <c r="A152" i="13" s="1"/>
  <c r="G151" i="13"/>
  <c r="B151" i="13"/>
  <c r="A151" i="13"/>
  <c r="G150" i="13"/>
  <c r="B150" i="13"/>
  <c r="A150" i="13" s="1"/>
  <c r="G149" i="13"/>
  <c r="B149" i="13"/>
  <c r="A149" i="13" s="1"/>
  <c r="A148" i="13"/>
  <c r="G147" i="13"/>
  <c r="B147" i="13"/>
  <c r="A147" i="13"/>
  <c r="G146" i="13"/>
  <c r="B146" i="13"/>
  <c r="A146" i="13" s="1"/>
  <c r="G145" i="13"/>
  <c r="B145" i="13"/>
  <c r="A145" i="13"/>
  <c r="G144" i="13"/>
  <c r="B144" i="13"/>
  <c r="A144" i="13" s="1"/>
  <c r="G143" i="13"/>
  <c r="B143" i="13"/>
  <c r="A143" i="13" s="1"/>
  <c r="G142" i="13"/>
  <c r="B142" i="13"/>
  <c r="A142" i="13" s="1"/>
  <c r="G141" i="13"/>
  <c r="B141" i="13"/>
  <c r="A141" i="13"/>
  <c r="G140" i="13"/>
  <c r="B140" i="13"/>
  <c r="A140" i="13" s="1"/>
  <c r="G139" i="13"/>
  <c r="B139" i="13"/>
  <c r="A139" i="13" s="1"/>
  <c r="G138" i="13"/>
  <c r="B138" i="13"/>
  <c r="A138" i="13" s="1"/>
  <c r="G137" i="13"/>
  <c r="B137" i="13"/>
  <c r="A137" i="13"/>
  <c r="G136" i="13"/>
  <c r="B136" i="13"/>
  <c r="A136" i="13" s="1"/>
  <c r="G135" i="13"/>
  <c r="B135" i="13"/>
  <c r="A135" i="13" s="1"/>
  <c r="F131" i="13"/>
  <c r="E131" i="13"/>
  <c r="F129" i="13"/>
  <c r="E129" i="13"/>
  <c r="F128" i="13"/>
  <c r="E128" i="13"/>
  <c r="G127" i="13"/>
  <c r="B127" i="13"/>
  <c r="A127" i="13" s="1"/>
  <c r="G126" i="13"/>
  <c r="B126" i="13"/>
  <c r="A126" i="13" s="1"/>
  <c r="G125" i="13"/>
  <c r="B125" i="13"/>
  <c r="A125" i="13" s="1"/>
  <c r="G124" i="13"/>
  <c r="B124" i="13"/>
  <c r="A124" i="13" s="1"/>
  <c r="G123" i="13"/>
  <c r="B123" i="13"/>
  <c r="A123" i="13" s="1"/>
  <c r="B122" i="13"/>
  <c r="A122" i="13" s="1"/>
  <c r="G121" i="13"/>
  <c r="B121" i="13"/>
  <c r="A121" i="13" s="1"/>
  <c r="G120" i="13"/>
  <c r="B120" i="13"/>
  <c r="A120" i="13" s="1"/>
  <c r="G119" i="13"/>
  <c r="B119" i="13"/>
  <c r="A119" i="13" s="1"/>
  <c r="G118" i="13"/>
  <c r="B118" i="13"/>
  <c r="A118" i="13" s="1"/>
  <c r="G117" i="13"/>
  <c r="B117" i="13"/>
  <c r="A117" i="13" s="1"/>
  <c r="G116" i="13"/>
  <c r="B116" i="13"/>
  <c r="A116" i="13" s="1"/>
  <c r="G115" i="13"/>
  <c r="B115" i="13"/>
  <c r="A115" i="13" s="1"/>
  <c r="G114" i="13"/>
  <c r="B114" i="13"/>
  <c r="A114" i="13" s="1"/>
  <c r="G113" i="13"/>
  <c r="B113" i="13"/>
  <c r="A113" i="13" s="1"/>
  <c r="G112" i="13"/>
  <c r="B112" i="13"/>
  <c r="A112" i="13" s="1"/>
  <c r="G111" i="13"/>
  <c r="B111" i="13"/>
  <c r="A111" i="13" s="1"/>
  <c r="G110" i="13"/>
  <c r="B110" i="13"/>
  <c r="A110" i="13" s="1"/>
  <c r="G109" i="13"/>
  <c r="B109" i="13"/>
  <c r="A109" i="13" s="1"/>
  <c r="C105" i="13"/>
  <c r="D82" i="13" s="1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30" i="13"/>
  <c r="F50" i="13"/>
  <c r="H50" i="13"/>
  <c r="F51" i="13"/>
  <c r="H51" i="13"/>
  <c r="F53" i="13"/>
  <c r="H53" i="13"/>
  <c r="E53" i="13"/>
  <c r="E51" i="13"/>
  <c r="E50" i="13"/>
  <c r="B23" i="13"/>
  <c r="A23" i="13" s="1"/>
  <c r="B24" i="13"/>
  <c r="A24" i="13" s="1"/>
  <c r="B25" i="13"/>
  <c r="A25" i="13" s="1"/>
  <c r="B26" i="13"/>
  <c r="A26" i="13" s="1"/>
  <c r="B27" i="13"/>
  <c r="A27" i="13" s="1"/>
  <c r="B28" i="13"/>
  <c r="A28" i="13" s="1"/>
  <c r="B29" i="13"/>
  <c r="A29" i="13" s="1"/>
  <c r="B30" i="13"/>
  <c r="A30" i="13" s="1"/>
  <c r="B31" i="13"/>
  <c r="A31" i="13" s="1"/>
  <c r="B32" i="13"/>
  <c r="A32" i="13" s="1"/>
  <c r="B33" i="13"/>
  <c r="A33" i="13" s="1"/>
  <c r="B34" i="13"/>
  <c r="A34" i="13" s="1"/>
  <c r="B35" i="13"/>
  <c r="A35" i="13" s="1"/>
  <c r="B36" i="13"/>
  <c r="A36" i="13" s="1"/>
  <c r="B37" i="13"/>
  <c r="A37" i="13" s="1"/>
  <c r="B38" i="13"/>
  <c r="A38" i="13" s="1"/>
  <c r="B39" i="13"/>
  <c r="A39" i="13" s="1"/>
  <c r="B40" i="13"/>
  <c r="A40" i="13" s="1"/>
  <c r="B41" i="13"/>
  <c r="A41" i="13" s="1"/>
  <c r="B42" i="13"/>
  <c r="A42" i="13" s="1"/>
  <c r="B43" i="13"/>
  <c r="A43" i="13" s="1"/>
  <c r="B44" i="13"/>
  <c r="A44" i="13" s="1"/>
  <c r="B45" i="13"/>
  <c r="A45" i="13" s="1"/>
  <c r="B46" i="13"/>
  <c r="A46" i="13" s="1"/>
  <c r="B47" i="13"/>
  <c r="A47" i="13" s="1"/>
  <c r="B48" i="13"/>
  <c r="A48" i="13" s="1"/>
  <c r="B49" i="13"/>
  <c r="A49" i="13" s="1"/>
  <c r="G23" i="13"/>
  <c r="G24" i="13"/>
  <c r="G25" i="13"/>
  <c r="I50" i="13" s="1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Q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6" i="12"/>
  <c r="R5" i="12"/>
  <c r="R4" i="12"/>
  <c r="R3" i="12"/>
  <c r="R2" i="12"/>
  <c r="R22" i="12" s="1"/>
  <c r="J135" i="13" l="1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I53" i="13"/>
  <c r="I51" i="13"/>
  <c r="J111" i="13"/>
  <c r="J112" i="13"/>
  <c r="J118" i="13"/>
  <c r="J124" i="13"/>
  <c r="J114" i="13"/>
  <c r="J116" i="13"/>
  <c r="J119" i="13"/>
  <c r="J125" i="13"/>
  <c r="G131" i="13"/>
  <c r="E130" i="13"/>
  <c r="E154" i="13" s="1"/>
  <c r="J109" i="13"/>
  <c r="J120" i="13"/>
  <c r="J122" i="13"/>
  <c r="J126" i="13"/>
  <c r="J121" i="13"/>
  <c r="J110" i="13"/>
  <c r="J115" i="13"/>
  <c r="J117" i="13"/>
  <c r="J123" i="13"/>
  <c r="J113" i="13"/>
  <c r="F130" i="13"/>
  <c r="F155" i="13" s="1"/>
  <c r="G129" i="13"/>
  <c r="G128" i="13"/>
  <c r="D101" i="13"/>
  <c r="D89" i="13"/>
  <c r="D81" i="13"/>
  <c r="D100" i="13"/>
  <c r="D96" i="13"/>
  <c r="D92" i="13"/>
  <c r="D88" i="13"/>
  <c r="D84" i="13"/>
  <c r="D93" i="13"/>
  <c r="D103" i="13"/>
  <c r="D99" i="13"/>
  <c r="D95" i="13"/>
  <c r="D91" i="13"/>
  <c r="D87" i="13"/>
  <c r="D83" i="13"/>
  <c r="D97" i="13"/>
  <c r="D85" i="13"/>
  <c r="D102" i="13"/>
  <c r="D98" i="13"/>
  <c r="D94" i="13"/>
  <c r="D90" i="13"/>
  <c r="D86" i="13"/>
  <c r="E52" i="13"/>
  <c r="F52" i="13"/>
  <c r="I52" i="13"/>
  <c r="H52" i="13"/>
  <c r="G50" i="13"/>
  <c r="G53" i="13"/>
  <c r="G51" i="13"/>
  <c r="K50" i="12"/>
  <c r="F41" i="12"/>
  <c r="C42" i="12"/>
  <c r="C40" i="12"/>
  <c r="B43" i="12"/>
  <c r="B37" i="12"/>
  <c r="G58" i="12"/>
  <c r="E58" i="12"/>
  <c r="E59" i="12" s="1"/>
  <c r="B56" i="12"/>
  <c r="C55" i="12"/>
  <c r="H57" i="12"/>
  <c r="H59" i="12" s="1"/>
  <c r="F54" i="12"/>
  <c r="F59" i="12" s="1"/>
  <c r="C53" i="12"/>
  <c r="K52" i="12"/>
  <c r="M50" i="12"/>
  <c r="I50" i="12"/>
  <c r="G50" i="12"/>
  <c r="E50" i="12"/>
  <c r="D50" i="12"/>
  <c r="C51" i="12"/>
  <c r="C50" i="12"/>
  <c r="B50" i="12"/>
  <c r="C38" i="12"/>
  <c r="M49" i="12"/>
  <c r="L49" i="12"/>
  <c r="I49" i="12"/>
  <c r="K49" i="12"/>
  <c r="J49" i="12"/>
  <c r="J59" i="12" s="1"/>
  <c r="H49" i="12"/>
  <c r="F49" i="12"/>
  <c r="D49" i="12"/>
  <c r="C49" i="12"/>
  <c r="B49" i="12"/>
  <c r="L59" i="12"/>
  <c r="G29" i="12"/>
  <c r="G30" i="12"/>
  <c r="G32" i="12"/>
  <c r="G33" i="12"/>
  <c r="F33" i="12"/>
  <c r="M22" i="12"/>
  <c r="F30" i="12"/>
  <c r="F29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" i="12"/>
  <c r="F32" i="12"/>
  <c r="H3" i="12" s="1"/>
  <c r="L62" i="12" s="1"/>
  <c r="L72" i="12" s="1"/>
  <c r="E45" i="12"/>
  <c r="G45" i="12"/>
  <c r="H44" i="12"/>
  <c r="K39" i="12"/>
  <c r="M37" i="12"/>
  <c r="K37" i="12"/>
  <c r="I37" i="12"/>
  <c r="G37" i="12"/>
  <c r="E37" i="12"/>
  <c r="E46" i="12" s="1"/>
  <c r="D37" i="12"/>
  <c r="C37" i="12"/>
  <c r="M36" i="12"/>
  <c r="L36" i="12"/>
  <c r="L46" i="12" s="1"/>
  <c r="K36" i="12"/>
  <c r="J36" i="12"/>
  <c r="J46" i="12" s="1"/>
  <c r="I36" i="12"/>
  <c r="H36" i="12"/>
  <c r="F36" i="12"/>
  <c r="D36" i="12"/>
  <c r="C36" i="12"/>
  <c r="B36" i="12"/>
  <c r="N3" i="12"/>
  <c r="N4" i="12"/>
  <c r="N5" i="12"/>
  <c r="N6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" i="12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40" i="4"/>
  <c r="AK40" i="4"/>
  <c r="M46" i="12" l="1"/>
  <c r="D59" i="12"/>
  <c r="F31" i="12"/>
  <c r="I59" i="12"/>
  <c r="G31" i="12"/>
  <c r="E155" i="13"/>
  <c r="E157" i="13"/>
  <c r="F154" i="13"/>
  <c r="F156" i="13" s="1"/>
  <c r="F157" i="13"/>
  <c r="E156" i="13"/>
  <c r="G130" i="13"/>
  <c r="G155" i="13" s="1"/>
  <c r="G52" i="13"/>
  <c r="N22" i="12"/>
  <c r="G46" i="12"/>
  <c r="D46" i="12"/>
  <c r="M59" i="12"/>
  <c r="H46" i="12"/>
  <c r="K59" i="12"/>
  <c r="G59" i="12"/>
  <c r="B59" i="12"/>
  <c r="C59" i="12"/>
  <c r="C46" i="12"/>
  <c r="B46" i="12"/>
  <c r="H22" i="12"/>
  <c r="C66" i="12" s="1"/>
  <c r="H10" i="12"/>
  <c r="C62" i="12" s="1"/>
  <c r="H2" i="12"/>
  <c r="M62" i="12" s="1"/>
  <c r="H25" i="12"/>
  <c r="B69" i="12" s="1"/>
  <c r="H21" i="12"/>
  <c r="K65" i="12" s="1"/>
  <c r="H17" i="12"/>
  <c r="D63" i="12" s="1"/>
  <c r="H9" i="12"/>
  <c r="D62" i="12" s="1"/>
  <c r="H5" i="12"/>
  <c r="J62" i="12" s="1"/>
  <c r="J72" i="12" s="1"/>
  <c r="H28" i="12"/>
  <c r="E71" i="12" s="1"/>
  <c r="H24" i="12"/>
  <c r="C68" i="12" s="1"/>
  <c r="H20" i="12"/>
  <c r="B63" i="12" s="1"/>
  <c r="H16" i="12"/>
  <c r="H12" i="12"/>
  <c r="M63" i="12" s="1"/>
  <c r="H8" i="12"/>
  <c r="F62" i="12" s="1"/>
  <c r="H4" i="12"/>
  <c r="K62" i="12" s="1"/>
  <c r="H26" i="12"/>
  <c r="H70" i="12" s="1"/>
  <c r="H18" i="12"/>
  <c r="C64" i="12" s="1"/>
  <c r="H14" i="12"/>
  <c r="I63" i="12" s="1"/>
  <c r="H6" i="12"/>
  <c r="I62" i="12" s="1"/>
  <c r="H13" i="12"/>
  <c r="K63" i="12" s="1"/>
  <c r="F46" i="12"/>
  <c r="K46" i="12"/>
  <c r="I46" i="12"/>
  <c r="H27" i="12"/>
  <c r="G71" i="12" s="1"/>
  <c r="H23" i="12"/>
  <c r="F67" i="12" s="1"/>
  <c r="H19" i="12"/>
  <c r="C63" i="12" s="1"/>
  <c r="H15" i="12"/>
  <c r="G63" i="12" s="1"/>
  <c r="H11" i="12"/>
  <c r="B62" i="12" s="1"/>
  <c r="B72" i="12" s="1"/>
  <c r="H7" i="12"/>
  <c r="H62" i="12" s="1"/>
  <c r="AG40" i="4"/>
  <c r="F72" i="12" l="1"/>
  <c r="G157" i="13"/>
  <c r="G154" i="13"/>
  <c r="G156" i="13" s="1"/>
  <c r="C72" i="12"/>
  <c r="E63" i="12"/>
  <c r="E72" i="12" s="1"/>
  <c r="I72" i="12"/>
  <c r="D72" i="12"/>
  <c r="M72" i="12"/>
  <c r="G72" i="12"/>
  <c r="K72" i="12"/>
  <c r="H72" i="12"/>
  <c r="H29" i="12"/>
  <c r="H33" i="12"/>
  <c r="H30" i="12"/>
  <c r="H32" i="12"/>
  <c r="EF22" i="1"/>
  <c r="AM40" i="4" s="1"/>
  <c r="EF5" i="1"/>
  <c r="AL40" i="4" s="1"/>
  <c r="AF40" i="4" l="1"/>
  <c r="EF8" i="1"/>
  <c r="EG8" i="1" s="1"/>
  <c r="EF31" i="1"/>
  <c r="EG31" i="1" s="1"/>
  <c r="EF12" i="1"/>
  <c r="EG12" i="1" s="1"/>
  <c r="EF24" i="1"/>
  <c r="EG24" i="1" s="1"/>
  <c r="EF20" i="1"/>
  <c r="EG20" i="1" s="1"/>
  <c r="EF36" i="1"/>
  <c r="EG36" i="1" s="1"/>
  <c r="EF28" i="1"/>
  <c r="EG28" i="1" s="1"/>
  <c r="EF32" i="1"/>
  <c r="EG32" i="1" s="1"/>
  <c r="EF16" i="1"/>
  <c r="EG16" i="1" s="1"/>
  <c r="EF35" i="1"/>
  <c r="EG35" i="1" s="1"/>
  <c r="EF27" i="1"/>
  <c r="EG27" i="1" s="1"/>
  <c r="EF19" i="1"/>
  <c r="EG19" i="1" s="1"/>
  <c r="EF15" i="1"/>
  <c r="EG15" i="1" s="1"/>
  <c r="EF11" i="1"/>
  <c r="EG11" i="1" s="1"/>
  <c r="EF7" i="1"/>
  <c r="EG7" i="1" s="1"/>
  <c r="EF18" i="1"/>
  <c r="EG18" i="1" s="1"/>
  <c r="EF14" i="1"/>
  <c r="EG14" i="1" s="1"/>
  <c r="EF10" i="1"/>
  <c r="EG10" i="1" s="1"/>
  <c r="EF23" i="1"/>
  <c r="EG23" i="1" s="1"/>
  <c r="EF34" i="1"/>
  <c r="EG34" i="1" s="1"/>
  <c r="EF30" i="1"/>
  <c r="EG30" i="1" s="1"/>
  <c r="EF26" i="1"/>
  <c r="EG26" i="1" s="1"/>
  <c r="EF6" i="1"/>
  <c r="EG6" i="1" s="1"/>
  <c r="EF17" i="1"/>
  <c r="EG17" i="1" s="1"/>
  <c r="EF13" i="1"/>
  <c r="EG13" i="1" s="1"/>
  <c r="EF9" i="1"/>
  <c r="EG9" i="1" s="1"/>
  <c r="EF37" i="1"/>
  <c r="EG37" i="1" s="1"/>
  <c r="EF33" i="1"/>
  <c r="EG33" i="1" s="1"/>
  <c r="EF29" i="1"/>
  <c r="EG29" i="1" s="1"/>
  <c r="EF25" i="1"/>
  <c r="EG25" i="1" s="1"/>
  <c r="H31" i="12"/>
  <c r="AG41" i="4"/>
  <c r="AK41" i="4"/>
  <c r="DY22" i="1" l="1"/>
  <c r="AM41" i="4" s="1"/>
  <c r="DY5" i="1"/>
  <c r="AL41" i="4" s="1"/>
  <c r="AF41" i="4" s="1"/>
  <c r="DY24" i="1" l="1"/>
  <c r="DY25" i="1"/>
  <c r="DZ25" i="1" s="1"/>
  <c r="DY26" i="1"/>
  <c r="DZ26" i="1" s="1"/>
  <c r="DY27" i="1"/>
  <c r="DZ27" i="1" s="1"/>
  <c r="DY28" i="1"/>
  <c r="DZ28" i="1" s="1"/>
  <c r="DY29" i="1"/>
  <c r="DZ29" i="1" s="1"/>
  <c r="DY30" i="1"/>
  <c r="DZ30" i="1" s="1"/>
  <c r="DY31" i="1"/>
  <c r="DZ31" i="1" s="1"/>
  <c r="DY32" i="1"/>
  <c r="DZ32" i="1" s="1"/>
  <c r="DY33" i="1"/>
  <c r="DZ33" i="1" s="1"/>
  <c r="DY34" i="1"/>
  <c r="DY35" i="1"/>
  <c r="DZ35" i="1" s="1"/>
  <c r="DY36" i="1"/>
  <c r="DZ36" i="1" s="1"/>
  <c r="DY37" i="1"/>
  <c r="DZ37" i="1" s="1"/>
  <c r="DY7" i="1"/>
  <c r="DZ7" i="1" s="1"/>
  <c r="DY8" i="1"/>
  <c r="DY9" i="1"/>
  <c r="DZ9" i="1" s="1"/>
  <c r="DY10" i="1"/>
  <c r="DZ10" i="1" s="1"/>
  <c r="DY11" i="1"/>
  <c r="DZ11" i="1" s="1"/>
  <c r="DY12" i="1"/>
  <c r="DZ12" i="1" s="1"/>
  <c r="DY13" i="1"/>
  <c r="DY14" i="1"/>
  <c r="DZ14" i="1" s="1"/>
  <c r="DY15" i="1"/>
  <c r="DZ15" i="1" s="1"/>
  <c r="DY16" i="1"/>
  <c r="DZ16" i="1" s="1"/>
  <c r="DY17" i="1"/>
  <c r="DZ17" i="1" s="1"/>
  <c r="DY18" i="1"/>
  <c r="DZ18" i="1" s="1"/>
  <c r="DY19" i="1"/>
  <c r="DY20" i="1"/>
  <c r="DZ20" i="1" s="1"/>
  <c r="DY23" i="1"/>
  <c r="DZ23" i="1" s="1"/>
  <c r="DY6" i="1"/>
  <c r="DZ6" i="1" s="1"/>
  <c r="DZ34" i="1"/>
  <c r="DZ24" i="1"/>
  <c r="DZ19" i="1"/>
  <c r="DZ13" i="1"/>
  <c r="DZ8" i="1"/>
  <c r="AK42" i="4" l="1"/>
  <c r="AG168" i="4" s="1"/>
  <c r="AH42" i="4"/>
  <c r="AG42" i="4" s="1"/>
  <c r="DR5" i="1" l="1"/>
  <c r="AL42" i="4" s="1"/>
  <c r="DR22" i="1"/>
  <c r="AM42" i="4" s="1"/>
  <c r="DR27" i="1"/>
  <c r="DS27" i="1" s="1"/>
  <c r="DR28" i="1"/>
  <c r="DS28" i="1" s="1"/>
  <c r="DR31" i="1"/>
  <c r="DS31" i="1" s="1"/>
  <c r="DR35" i="1"/>
  <c r="DS35" i="1" s="1"/>
  <c r="DR36" i="1"/>
  <c r="DS36" i="1" s="1"/>
  <c r="DR7" i="1"/>
  <c r="DS7" i="1" s="1"/>
  <c r="DR10" i="1"/>
  <c r="DS10" i="1" s="1"/>
  <c r="DR11" i="1"/>
  <c r="DS11" i="1" s="1"/>
  <c r="DR12" i="1"/>
  <c r="DS12" i="1" s="1"/>
  <c r="DR15" i="1"/>
  <c r="DR16" i="1"/>
  <c r="DS16" i="1" s="1"/>
  <c r="DR18" i="1"/>
  <c r="DS18" i="1" s="1"/>
  <c r="DR20" i="1"/>
  <c r="DS20" i="1" s="1"/>
  <c r="DS15" i="1"/>
  <c r="AF42" i="4" l="1"/>
  <c r="DR19" i="1"/>
  <c r="DS19" i="1" s="1"/>
  <c r="DR14" i="1"/>
  <c r="DS14" i="1" s="1"/>
  <c r="DR8" i="1"/>
  <c r="DS8" i="1" s="1"/>
  <c r="DR32" i="1"/>
  <c r="DS32" i="1" s="1"/>
  <c r="DR24" i="1"/>
  <c r="DS24" i="1" s="1"/>
  <c r="DR23" i="1"/>
  <c r="DS23" i="1" s="1"/>
  <c r="DR34" i="1"/>
  <c r="DS34" i="1" s="1"/>
  <c r="DR30" i="1"/>
  <c r="DS30" i="1" s="1"/>
  <c r="DR26" i="1"/>
  <c r="DS26" i="1" s="1"/>
  <c r="DR6" i="1"/>
  <c r="DS6" i="1" s="1"/>
  <c r="DR17" i="1"/>
  <c r="DS17" i="1" s="1"/>
  <c r="DR13" i="1"/>
  <c r="DS13" i="1" s="1"/>
  <c r="DR9" i="1"/>
  <c r="DS9" i="1" s="1"/>
  <c r="DR37" i="1"/>
  <c r="DS37" i="1" s="1"/>
  <c r="DR33" i="1"/>
  <c r="DS33" i="1" s="1"/>
  <c r="DR29" i="1"/>
  <c r="DS29" i="1" s="1"/>
  <c r="DR25" i="1"/>
  <c r="DS25" i="1" s="1"/>
  <c r="AG43" i="4"/>
  <c r="AL43" i="4"/>
  <c r="AK43" i="4"/>
  <c r="DK22" i="1"/>
  <c r="DK35" i="1" s="1"/>
  <c r="DL35" i="1" s="1"/>
  <c r="DK5" i="1"/>
  <c r="DK18" i="1" s="1"/>
  <c r="DL18" i="1" s="1"/>
  <c r="AM43" i="4" l="1"/>
  <c r="AF43" i="4" s="1"/>
  <c r="DK9" i="1"/>
  <c r="DL9" i="1" s="1"/>
  <c r="DK13" i="1"/>
  <c r="DL13" i="1" s="1"/>
  <c r="DK23" i="1"/>
  <c r="DL23" i="1" s="1"/>
  <c r="DK27" i="1"/>
  <c r="DL27" i="1" s="1"/>
  <c r="DK31" i="1"/>
  <c r="DL31" i="1" s="1"/>
  <c r="DK33" i="1"/>
  <c r="DL33" i="1" s="1"/>
  <c r="DK37" i="1"/>
  <c r="DL37" i="1" s="1"/>
  <c r="DK6" i="1"/>
  <c r="DL6" i="1" s="1"/>
  <c r="DK10" i="1"/>
  <c r="DL10" i="1" s="1"/>
  <c r="DK12" i="1"/>
  <c r="DL12" i="1" s="1"/>
  <c r="DK14" i="1"/>
  <c r="DL14" i="1" s="1"/>
  <c r="DK16" i="1"/>
  <c r="DL16" i="1" s="1"/>
  <c r="DK20" i="1"/>
  <c r="DL20" i="1" s="1"/>
  <c r="DK24" i="1"/>
  <c r="DL24" i="1" s="1"/>
  <c r="DK26" i="1"/>
  <c r="DL26" i="1" s="1"/>
  <c r="DK28" i="1"/>
  <c r="DL28" i="1" s="1"/>
  <c r="DK30" i="1"/>
  <c r="DL30" i="1" s="1"/>
  <c r="DK32" i="1"/>
  <c r="DL32" i="1" s="1"/>
  <c r="DK34" i="1"/>
  <c r="DL34" i="1" s="1"/>
  <c r="DK36" i="1"/>
  <c r="DL36" i="1" s="1"/>
  <c r="DK7" i="1"/>
  <c r="DL7" i="1" s="1"/>
  <c r="DK11" i="1"/>
  <c r="DL11" i="1" s="1"/>
  <c r="DK15" i="1"/>
  <c r="DL15" i="1" s="1"/>
  <c r="DK17" i="1"/>
  <c r="DL17" i="1" s="1"/>
  <c r="DK19" i="1"/>
  <c r="DL19" i="1" s="1"/>
  <c r="DK25" i="1"/>
  <c r="DL25" i="1" s="1"/>
  <c r="DK29" i="1"/>
  <c r="DL29" i="1" s="1"/>
  <c r="DK8" i="1"/>
  <c r="DL8" i="1" s="1"/>
  <c r="AG44" i="4"/>
  <c r="DD22" i="1"/>
  <c r="DD5" i="1"/>
  <c r="AL44" i="4" s="1"/>
  <c r="DD8" i="1" l="1"/>
  <c r="DE8" i="1" s="1"/>
  <c r="DD13" i="1"/>
  <c r="DE13" i="1" s="1"/>
  <c r="DD16" i="1"/>
  <c r="DE16" i="1" s="1"/>
  <c r="DD37" i="1"/>
  <c r="DE37" i="1" s="1"/>
  <c r="AM44" i="4"/>
  <c r="DD30" i="1"/>
  <c r="DE30" i="1" s="1"/>
  <c r="DD6" i="1"/>
  <c r="DE6" i="1" s="1"/>
  <c r="DD11" i="1"/>
  <c r="DE11" i="1" s="1"/>
  <c r="DD14" i="1"/>
  <c r="DE14" i="1" s="1"/>
  <c r="DD19" i="1"/>
  <c r="DE19" i="1" s="1"/>
  <c r="DD24" i="1"/>
  <c r="DE24" i="1" s="1"/>
  <c r="DD32" i="1"/>
  <c r="DE32" i="1" s="1"/>
  <c r="DD9" i="1"/>
  <c r="DE9" i="1" s="1"/>
  <c r="DD12" i="1"/>
  <c r="DE12" i="1" s="1"/>
  <c r="DD17" i="1"/>
  <c r="DE17" i="1" s="1"/>
  <c r="DD20" i="1"/>
  <c r="DE20" i="1" s="1"/>
  <c r="DD26" i="1"/>
  <c r="DE26" i="1" s="1"/>
  <c r="DD34" i="1"/>
  <c r="DE34" i="1" s="1"/>
  <c r="DD7" i="1"/>
  <c r="DE7" i="1" s="1"/>
  <c r="DD10" i="1"/>
  <c r="DE10" i="1" s="1"/>
  <c r="DD15" i="1"/>
  <c r="DE15" i="1" s="1"/>
  <c r="DD18" i="1"/>
  <c r="DE18" i="1" s="1"/>
  <c r="DD28" i="1"/>
  <c r="DE28" i="1" s="1"/>
  <c r="DD36" i="1"/>
  <c r="DE36" i="1" s="1"/>
  <c r="AF44" i="4"/>
  <c r="DD23" i="1"/>
  <c r="DE23" i="1" s="1"/>
  <c r="DD25" i="1"/>
  <c r="DE25" i="1" s="1"/>
  <c r="DD27" i="1"/>
  <c r="DE27" i="1" s="1"/>
  <c r="DD29" i="1"/>
  <c r="DE29" i="1" s="1"/>
  <c r="DD31" i="1"/>
  <c r="DE31" i="1" s="1"/>
  <c r="DD33" i="1"/>
  <c r="DE33" i="1" s="1"/>
  <c r="DD35" i="1"/>
  <c r="DE35" i="1" s="1"/>
  <c r="AK45" i="4"/>
  <c r="CW5" i="1"/>
  <c r="CW22" i="1"/>
  <c r="AM45" i="4" s="1"/>
  <c r="CW23" i="1" l="1"/>
  <c r="CX23" i="1" s="1"/>
  <c r="CW7" i="1"/>
  <c r="CX7" i="1" s="1"/>
  <c r="AL45" i="4"/>
  <c r="AF45" i="4"/>
  <c r="CW10" i="1"/>
  <c r="CX10" i="1" s="1"/>
  <c r="CW14" i="1"/>
  <c r="CX14" i="1" s="1"/>
  <c r="CW18" i="1"/>
  <c r="CX18" i="1" s="1"/>
  <c r="CW17" i="1"/>
  <c r="CX17" i="1" s="1"/>
  <c r="CW9" i="1"/>
  <c r="CX9" i="1" s="1"/>
  <c r="CW20" i="1"/>
  <c r="CX20" i="1" s="1"/>
  <c r="CW16" i="1"/>
  <c r="CX16" i="1" s="1"/>
  <c r="CW12" i="1"/>
  <c r="CX12" i="1" s="1"/>
  <c r="CW8" i="1"/>
  <c r="CX8" i="1" s="1"/>
  <c r="CW6" i="1"/>
  <c r="CX6" i="1" s="1"/>
  <c r="CW13" i="1"/>
  <c r="CX13" i="1" s="1"/>
  <c r="CW19" i="1"/>
  <c r="CX19" i="1" s="1"/>
  <c r="CW15" i="1"/>
  <c r="CX15" i="1" s="1"/>
  <c r="CW11" i="1"/>
  <c r="CX11" i="1" s="1"/>
  <c r="AK46" i="4" l="1"/>
  <c r="AG163" i="4" s="1"/>
  <c r="AG46" i="4"/>
  <c r="CP22" i="1"/>
  <c r="AM46" i="4" s="1"/>
  <c r="CP5" i="1"/>
  <c r="CP8" i="1" s="1"/>
  <c r="CQ8" i="1" s="1"/>
  <c r="CP26" i="1"/>
  <c r="CQ26" i="1" s="1"/>
  <c r="CP27" i="1"/>
  <c r="CQ27" i="1" s="1"/>
  <c r="CP28" i="1"/>
  <c r="CQ28" i="1" s="1"/>
  <c r="CP31" i="1"/>
  <c r="CQ31" i="1" s="1"/>
  <c r="CP32" i="1"/>
  <c r="CQ32" i="1" s="1"/>
  <c r="CP34" i="1"/>
  <c r="CQ34" i="1" s="1"/>
  <c r="CP36" i="1"/>
  <c r="CQ36" i="1" s="1"/>
  <c r="CP23" i="1"/>
  <c r="CP7" i="1"/>
  <c r="CQ7" i="1" s="1"/>
  <c r="CP9" i="1"/>
  <c r="CQ9" i="1" s="1"/>
  <c r="CP12" i="1"/>
  <c r="CQ12" i="1" s="1"/>
  <c r="CP13" i="1"/>
  <c r="CQ13" i="1" s="1"/>
  <c r="CP17" i="1"/>
  <c r="CQ17" i="1" s="1"/>
  <c r="CP19" i="1"/>
  <c r="CQ19" i="1" s="1"/>
  <c r="CP20" i="1"/>
  <c r="CQ20" i="1" s="1"/>
  <c r="CQ23" i="1"/>
  <c r="AL46" i="4" l="1"/>
  <c r="CP15" i="1"/>
  <c r="CQ15" i="1" s="1"/>
  <c r="CP35" i="1"/>
  <c r="CQ35" i="1" s="1"/>
  <c r="CP30" i="1"/>
  <c r="CQ30" i="1" s="1"/>
  <c r="CP24" i="1"/>
  <c r="CQ24" i="1" s="1"/>
  <c r="CP10" i="1"/>
  <c r="CQ10" i="1" s="1"/>
  <c r="AF46" i="4"/>
  <c r="CP6" i="1"/>
  <c r="CQ6" i="1" s="1"/>
  <c r="CP16" i="1"/>
  <c r="CQ16" i="1" s="1"/>
  <c r="CP11" i="1"/>
  <c r="CQ11" i="1" s="1"/>
  <c r="CP25" i="1"/>
  <c r="CQ25" i="1" s="1"/>
  <c r="CW35" i="1"/>
  <c r="CX35" i="1" s="1"/>
  <c r="CW30" i="1"/>
  <c r="CX30" i="1" s="1"/>
  <c r="CW27" i="1"/>
  <c r="CX27" i="1" s="1"/>
  <c r="CW37" i="1"/>
  <c r="CX37" i="1" s="1"/>
  <c r="CW32" i="1"/>
  <c r="CX32" i="1" s="1"/>
  <c r="CW29" i="1"/>
  <c r="CX29" i="1" s="1"/>
  <c r="CW24" i="1"/>
  <c r="CX24" i="1" s="1"/>
  <c r="CW34" i="1"/>
  <c r="CX34" i="1" s="1"/>
  <c r="CW31" i="1"/>
  <c r="CX31" i="1" s="1"/>
  <c r="CW26" i="1"/>
  <c r="CX26" i="1" s="1"/>
  <c r="CW36" i="1"/>
  <c r="CX36" i="1" s="1"/>
  <c r="CW33" i="1"/>
  <c r="CX33" i="1" s="1"/>
  <c r="CW28" i="1"/>
  <c r="CX28" i="1" s="1"/>
  <c r="CW25" i="1"/>
  <c r="CX25" i="1" s="1"/>
  <c r="AG164" i="4"/>
  <c r="AG162" i="4"/>
  <c r="CP37" i="1"/>
  <c r="CQ37" i="1" s="1"/>
  <c r="CP33" i="1"/>
  <c r="CQ33" i="1" s="1"/>
  <c r="CP29" i="1"/>
  <c r="CQ29" i="1" s="1"/>
  <c r="CP18" i="1"/>
  <c r="CQ18" i="1" s="1"/>
  <c r="CP14" i="1"/>
  <c r="CQ14" i="1" s="1"/>
  <c r="AK47" i="4"/>
  <c r="AK48" i="4"/>
  <c r="AM48" i="4"/>
  <c r="AL48" i="4"/>
  <c r="AG47" i="4"/>
  <c r="CI22" i="1"/>
  <c r="CI25" i="1" s="1"/>
  <c r="CJ25" i="1" s="1"/>
  <c r="CI5" i="1"/>
  <c r="AL47" i="4" s="1"/>
  <c r="CI27" i="1"/>
  <c r="CI28" i="1"/>
  <c r="CJ28" i="1" s="1"/>
  <c r="CI32" i="1"/>
  <c r="CJ32" i="1" s="1"/>
  <c r="CI34" i="1"/>
  <c r="CJ34" i="1" s="1"/>
  <c r="CI20" i="1"/>
  <c r="CJ20" i="1" s="1"/>
  <c r="CJ27" i="1"/>
  <c r="CI16" i="1" l="1"/>
  <c r="CJ16" i="1" s="1"/>
  <c r="CI12" i="1"/>
  <c r="CJ12" i="1" s="1"/>
  <c r="CI8" i="1"/>
  <c r="CJ8" i="1" s="1"/>
  <c r="AM47" i="4"/>
  <c r="CI19" i="1"/>
  <c r="CJ19" i="1" s="1"/>
  <c r="CI15" i="1"/>
  <c r="CJ15" i="1" s="1"/>
  <c r="CI11" i="1"/>
  <c r="CJ11" i="1" s="1"/>
  <c r="CI18" i="1"/>
  <c r="CJ18" i="1" s="1"/>
  <c r="CI10" i="1"/>
  <c r="CJ10" i="1" s="1"/>
  <c r="CI36" i="1"/>
  <c r="CJ36" i="1" s="1"/>
  <c r="CI31" i="1"/>
  <c r="CJ31" i="1" s="1"/>
  <c r="CI26" i="1"/>
  <c r="CJ26" i="1" s="1"/>
  <c r="CI7" i="1"/>
  <c r="CJ7" i="1" s="1"/>
  <c r="CI6" i="1"/>
  <c r="CJ6" i="1" s="1"/>
  <c r="CI14" i="1"/>
  <c r="CJ14" i="1" s="1"/>
  <c r="CI23" i="1"/>
  <c r="CJ23" i="1" s="1"/>
  <c r="CI17" i="1"/>
  <c r="CJ17" i="1" s="1"/>
  <c r="CI13" i="1"/>
  <c r="CJ13" i="1" s="1"/>
  <c r="CI9" i="1"/>
  <c r="CJ9" i="1" s="1"/>
  <c r="CI35" i="1"/>
  <c r="CJ35" i="1" s="1"/>
  <c r="CI30" i="1"/>
  <c r="CJ30" i="1" s="1"/>
  <c r="CI24" i="1"/>
  <c r="CJ24" i="1" s="1"/>
  <c r="AF48" i="4"/>
  <c r="AF47" i="4"/>
  <c r="CI37" i="1"/>
  <c r="CJ37" i="1" s="1"/>
  <c r="CI33" i="1"/>
  <c r="CJ33" i="1" s="1"/>
  <c r="CI29" i="1"/>
  <c r="CJ29" i="1" s="1"/>
  <c r="CB6" i="1"/>
  <c r="AK44" i="4"/>
  <c r="CB24" i="1" l="1"/>
  <c r="CB25" i="1"/>
  <c r="CB26" i="1"/>
  <c r="CC26" i="1" s="1"/>
  <c r="CB27" i="1"/>
  <c r="CC27" i="1" s="1"/>
  <c r="CB28" i="1"/>
  <c r="CC28" i="1" s="1"/>
  <c r="CB29" i="1"/>
  <c r="CB30" i="1"/>
  <c r="CC30" i="1" s="1"/>
  <c r="CB31" i="1"/>
  <c r="CC31" i="1" s="1"/>
  <c r="CB32" i="1"/>
  <c r="CB33" i="1"/>
  <c r="CB34" i="1"/>
  <c r="CC34" i="1" s="1"/>
  <c r="CB35" i="1"/>
  <c r="CC35" i="1" s="1"/>
  <c r="CB36" i="1"/>
  <c r="CB37" i="1"/>
  <c r="CB20" i="1"/>
  <c r="CC20" i="1" s="1"/>
  <c r="CB7" i="1"/>
  <c r="CC7" i="1" s="1"/>
  <c r="CB8" i="1"/>
  <c r="CC8" i="1" s="1"/>
  <c r="CB9" i="1"/>
  <c r="CC9" i="1" s="1"/>
  <c r="CB10" i="1"/>
  <c r="CB11" i="1"/>
  <c r="CC11" i="1" s="1"/>
  <c r="CB12" i="1"/>
  <c r="CC12" i="1" s="1"/>
  <c r="CB13" i="1"/>
  <c r="CC13" i="1" s="1"/>
  <c r="CB14" i="1"/>
  <c r="CC14" i="1" s="1"/>
  <c r="CB15" i="1"/>
  <c r="CC15" i="1" s="1"/>
  <c r="CB16" i="1"/>
  <c r="CC16" i="1" s="1"/>
  <c r="CB17" i="1"/>
  <c r="CC17" i="1" s="1"/>
  <c r="CB18" i="1"/>
  <c r="CC18" i="1" s="1"/>
  <c r="CB19" i="1"/>
  <c r="CC19" i="1" s="1"/>
  <c r="BU7" i="1"/>
  <c r="CB23" i="1"/>
  <c r="CC23" i="1" s="1"/>
  <c r="BU6" i="1"/>
  <c r="CC6" i="1"/>
  <c r="CC37" i="1"/>
  <c r="CC36" i="1"/>
  <c r="CC33" i="1"/>
  <c r="CC32" i="1"/>
  <c r="CC29" i="1"/>
  <c r="CC25" i="1"/>
  <c r="CC24" i="1"/>
  <c r="CC10" i="1"/>
  <c r="AK49" i="4" l="1"/>
  <c r="AG49" i="4"/>
  <c r="AM49" i="4"/>
  <c r="AL49" i="4"/>
  <c r="BU24" i="1"/>
  <c r="BU25" i="1"/>
  <c r="BV25" i="1" s="1"/>
  <c r="BU26" i="1"/>
  <c r="BV26" i="1" s="1"/>
  <c r="BU27" i="1"/>
  <c r="BV27" i="1" s="1"/>
  <c r="BU28" i="1"/>
  <c r="BV28" i="1" s="1"/>
  <c r="BU29" i="1"/>
  <c r="BV29" i="1" s="1"/>
  <c r="BU30" i="1"/>
  <c r="BV30" i="1" s="1"/>
  <c r="BU31" i="1"/>
  <c r="BV31" i="1" s="1"/>
  <c r="BU32" i="1"/>
  <c r="BV32" i="1" s="1"/>
  <c r="BU33" i="1"/>
  <c r="BV33" i="1" s="1"/>
  <c r="BU34" i="1"/>
  <c r="BV34" i="1" s="1"/>
  <c r="BU35" i="1"/>
  <c r="BV35" i="1" s="1"/>
  <c r="BU36" i="1"/>
  <c r="BV36" i="1" s="1"/>
  <c r="BU37" i="1"/>
  <c r="BU8" i="1"/>
  <c r="BV8" i="1" s="1"/>
  <c r="BU9" i="1"/>
  <c r="BV9" i="1" s="1"/>
  <c r="BU10" i="1"/>
  <c r="BV10" i="1" s="1"/>
  <c r="BU11" i="1"/>
  <c r="BV11" i="1" s="1"/>
  <c r="BU12" i="1"/>
  <c r="BV12" i="1" s="1"/>
  <c r="BU13" i="1"/>
  <c r="BV13" i="1" s="1"/>
  <c r="BU14" i="1"/>
  <c r="BV14" i="1" s="1"/>
  <c r="BU15" i="1"/>
  <c r="BV15" i="1" s="1"/>
  <c r="BU16" i="1"/>
  <c r="BV16" i="1" s="1"/>
  <c r="BU17" i="1"/>
  <c r="BV17" i="1" s="1"/>
  <c r="BU18" i="1"/>
  <c r="BV18" i="1" s="1"/>
  <c r="BU19" i="1"/>
  <c r="BV19" i="1" s="1"/>
  <c r="BU20" i="1"/>
  <c r="BV20" i="1" s="1"/>
  <c r="BU23" i="1"/>
  <c r="BV23" i="1" s="1"/>
  <c r="BV6" i="1"/>
  <c r="BV37" i="1"/>
  <c r="BV24" i="1"/>
  <c r="BV7" i="1"/>
  <c r="AF49" i="4" l="1"/>
  <c r="AF51" i="4"/>
  <c r="BN6" i="1" l="1"/>
  <c r="BO6" i="1" s="1"/>
  <c r="BG6" i="1"/>
  <c r="BH6" i="1" s="1"/>
  <c r="AL107" i="4"/>
  <c r="AM50" i="4" l="1"/>
  <c r="AL50" i="4"/>
  <c r="AF50" i="4" l="1"/>
  <c r="AK50" i="4"/>
  <c r="AG50" i="4"/>
  <c r="BN24" i="1" l="1"/>
  <c r="BO24" i="1" s="1"/>
  <c r="BN25" i="1"/>
  <c r="BO25" i="1" s="1"/>
  <c r="BN26" i="1"/>
  <c r="BO26" i="1" s="1"/>
  <c r="BN27" i="1"/>
  <c r="BO27" i="1" s="1"/>
  <c r="BN28" i="1"/>
  <c r="BO28" i="1" s="1"/>
  <c r="BN29" i="1"/>
  <c r="BO29" i="1" s="1"/>
  <c r="BN30" i="1"/>
  <c r="BO30" i="1" s="1"/>
  <c r="BN31" i="1"/>
  <c r="BO31" i="1" s="1"/>
  <c r="BN32" i="1"/>
  <c r="BO32" i="1" s="1"/>
  <c r="BN33" i="1"/>
  <c r="BO33" i="1" s="1"/>
  <c r="BN34" i="1"/>
  <c r="BO34" i="1" s="1"/>
  <c r="BN35" i="1"/>
  <c r="BO35" i="1" s="1"/>
  <c r="BN36" i="1"/>
  <c r="BO36" i="1" s="1"/>
  <c r="BN37" i="1"/>
  <c r="BO37" i="1" s="1"/>
  <c r="BN7" i="1"/>
  <c r="BO7" i="1" s="1"/>
  <c r="BN8" i="1"/>
  <c r="BO8" i="1" s="1"/>
  <c r="BN9" i="1"/>
  <c r="BO9" i="1" s="1"/>
  <c r="BN10" i="1"/>
  <c r="BO10" i="1" s="1"/>
  <c r="BN11" i="1"/>
  <c r="BO11" i="1" s="1"/>
  <c r="BN12" i="1"/>
  <c r="BO12" i="1" s="1"/>
  <c r="BN13" i="1"/>
  <c r="BO13" i="1" s="1"/>
  <c r="BN14" i="1"/>
  <c r="BO14" i="1" s="1"/>
  <c r="BN15" i="1"/>
  <c r="BO15" i="1" s="1"/>
  <c r="BN16" i="1"/>
  <c r="BO16" i="1" s="1"/>
  <c r="BN17" i="1"/>
  <c r="BO17" i="1" s="1"/>
  <c r="BN18" i="1"/>
  <c r="BO18" i="1" s="1"/>
  <c r="BN19" i="1"/>
  <c r="BO19" i="1" s="1"/>
  <c r="BN20" i="1"/>
  <c r="BO20" i="1" s="1"/>
  <c r="BN23" i="1"/>
  <c r="BO23" i="1" s="1"/>
  <c r="AL96" i="4" l="1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O66" i="4"/>
  <c r="AL105" i="4"/>
  <c r="AL106" i="4" s="1"/>
  <c r="BG24" i="1"/>
  <c r="BH24" i="1" s="1"/>
  <c r="BG25" i="1"/>
  <c r="BH25" i="1" s="1"/>
  <c r="BG26" i="1"/>
  <c r="BH26" i="1" s="1"/>
  <c r="BG27" i="1"/>
  <c r="BH27" i="1" s="1"/>
  <c r="BG28" i="1"/>
  <c r="BH28" i="1" s="1"/>
  <c r="BG29" i="1"/>
  <c r="BH29" i="1" s="1"/>
  <c r="BG30" i="1"/>
  <c r="BH30" i="1" s="1"/>
  <c r="BG31" i="1"/>
  <c r="BH31" i="1" s="1"/>
  <c r="BG32" i="1"/>
  <c r="BH32" i="1" s="1"/>
  <c r="BG33" i="1"/>
  <c r="BH33" i="1" s="1"/>
  <c r="BG34" i="1"/>
  <c r="BG35" i="1"/>
  <c r="BH35" i="1" s="1"/>
  <c r="BG36" i="1"/>
  <c r="BH36" i="1" s="1"/>
  <c r="BG37" i="1"/>
  <c r="BH37" i="1" s="1"/>
  <c r="BG23" i="1"/>
  <c r="BH23" i="1" s="1"/>
  <c r="BG7" i="1"/>
  <c r="BH7" i="1" s="1"/>
  <c r="BG8" i="1"/>
  <c r="BH8" i="1" s="1"/>
  <c r="BG9" i="1"/>
  <c r="BH9" i="1" s="1"/>
  <c r="BG10" i="1"/>
  <c r="BH10" i="1" s="1"/>
  <c r="BG11" i="1"/>
  <c r="BH11" i="1" s="1"/>
  <c r="BG12" i="1"/>
  <c r="BH12" i="1" s="1"/>
  <c r="BG13" i="1"/>
  <c r="BH13" i="1" s="1"/>
  <c r="BG14" i="1"/>
  <c r="BH14" i="1" s="1"/>
  <c r="BG15" i="1"/>
  <c r="BH15" i="1" s="1"/>
  <c r="BG16" i="1"/>
  <c r="BH16" i="1" s="1"/>
  <c r="BG17" i="1"/>
  <c r="BH17" i="1" s="1"/>
  <c r="BG18" i="1"/>
  <c r="BH18" i="1" s="1"/>
  <c r="BG19" i="1"/>
  <c r="BH19" i="1" s="1"/>
  <c r="BG20" i="1"/>
  <c r="BH20" i="1" s="1"/>
  <c r="BH34" i="1"/>
  <c r="AK67" i="4" l="1"/>
  <c r="AL97" i="4"/>
  <c r="AL98" i="4"/>
  <c r="AL99" i="4"/>
  <c r="AL100" i="4"/>
  <c r="AL101" i="4"/>
  <c r="AL102" i="4"/>
  <c r="AL103" i="4"/>
  <c r="AL104" i="4" s="1"/>
  <c r="AG52" i="4" l="1"/>
  <c r="AM52" i="4"/>
  <c r="AL52" i="4"/>
  <c r="AF52" i="4" l="1"/>
  <c r="C6" i="1"/>
  <c r="AZ24" i="1"/>
  <c r="BA24" i="1" s="1"/>
  <c r="AZ25" i="1"/>
  <c r="BA25" i="1" s="1"/>
  <c r="AZ26" i="1"/>
  <c r="BA26" i="1" s="1"/>
  <c r="AZ27" i="1"/>
  <c r="BA27" i="1" s="1"/>
  <c r="AZ28" i="1"/>
  <c r="BA28" i="1" s="1"/>
  <c r="AZ29" i="1"/>
  <c r="BA29" i="1" s="1"/>
  <c r="AZ30" i="1"/>
  <c r="AZ31" i="1"/>
  <c r="BA31" i="1" s="1"/>
  <c r="AZ32" i="1"/>
  <c r="BA32" i="1" s="1"/>
  <c r="AZ33" i="1"/>
  <c r="BA33" i="1" s="1"/>
  <c r="AZ34" i="1"/>
  <c r="BA34" i="1" s="1"/>
  <c r="AZ35" i="1"/>
  <c r="BA35" i="1" s="1"/>
  <c r="AZ36" i="1"/>
  <c r="BA36" i="1" s="1"/>
  <c r="AZ37" i="1"/>
  <c r="BA37" i="1" s="1"/>
  <c r="AZ23" i="1"/>
  <c r="BA23" i="1" s="1"/>
  <c r="AZ7" i="1"/>
  <c r="BA7" i="1" s="1"/>
  <c r="AZ8" i="1"/>
  <c r="BA8" i="1" s="1"/>
  <c r="AZ9" i="1"/>
  <c r="BA9" i="1" s="1"/>
  <c r="AZ10" i="1"/>
  <c r="BA10" i="1" s="1"/>
  <c r="AZ11" i="1"/>
  <c r="BA11" i="1" s="1"/>
  <c r="AZ12" i="1"/>
  <c r="BA12" i="1" s="1"/>
  <c r="AZ13" i="1"/>
  <c r="BA13" i="1" s="1"/>
  <c r="AZ14" i="1"/>
  <c r="AZ15" i="1"/>
  <c r="BA15" i="1" s="1"/>
  <c r="AZ16" i="1"/>
  <c r="BA16" i="1" s="1"/>
  <c r="AZ17" i="1"/>
  <c r="BA17" i="1" s="1"/>
  <c r="AZ18" i="1"/>
  <c r="BA18" i="1" s="1"/>
  <c r="AZ19" i="1"/>
  <c r="BA19" i="1" s="1"/>
  <c r="AZ20" i="1"/>
  <c r="BA20" i="1" s="1"/>
  <c r="AZ6" i="1"/>
  <c r="BA6" i="1" s="1"/>
  <c r="AS6" i="1"/>
  <c r="BA30" i="1"/>
  <c r="BA14" i="1"/>
  <c r="AM59" i="4" l="1"/>
  <c r="AL59" i="4"/>
  <c r="AM58" i="4"/>
  <c r="AL58" i="4"/>
  <c r="AM57" i="4"/>
  <c r="AL57" i="4"/>
  <c r="AM56" i="4"/>
  <c r="AL56" i="4"/>
  <c r="AM55" i="4"/>
  <c r="AL55" i="4"/>
  <c r="AM54" i="4"/>
  <c r="AL54" i="4"/>
  <c r="AM53" i="4"/>
  <c r="AL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53" i="4"/>
  <c r="AF54" i="4" l="1"/>
  <c r="AF56" i="4"/>
  <c r="AF58" i="4"/>
  <c r="AF53" i="4"/>
  <c r="AF55" i="4"/>
  <c r="AF57" i="4"/>
  <c r="AF59" i="4"/>
  <c r="AS24" i="1"/>
  <c r="AT24" i="1" s="1"/>
  <c r="AS25" i="1"/>
  <c r="AT25" i="1" s="1"/>
  <c r="AS26" i="1"/>
  <c r="AT26" i="1" s="1"/>
  <c r="AS27" i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S23" i="1"/>
  <c r="AT23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T6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23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6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23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6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23" i="1"/>
  <c r="X8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6" i="1"/>
  <c r="J6" i="1"/>
  <c r="AT37" i="1"/>
  <c r="AT27" i="1"/>
  <c r="AM37" i="1" l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T56" i="4" l="1"/>
  <c r="T57" i="4"/>
  <c r="T58" i="4"/>
  <c r="T59" i="4"/>
  <c r="T60" i="4"/>
  <c r="T61" i="4"/>
  <c r="T62" i="4"/>
  <c r="T63" i="4"/>
  <c r="T64" i="4"/>
  <c r="T65" i="4"/>
  <c r="T66" i="4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AT4" i="8" l="1"/>
  <c r="AL4" i="8"/>
  <c r="BK5" i="8"/>
  <c r="BK6" i="8"/>
  <c r="BK7" i="8"/>
  <c r="BK8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4" i="8"/>
  <c r="BH4" i="8"/>
  <c r="BH5" i="8" s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H16" i="8" s="1"/>
  <c r="BH17" i="8" s="1"/>
  <c r="BH18" i="8" s="1"/>
  <c r="BH19" i="8" s="1"/>
  <c r="BH20" i="8" s="1"/>
  <c r="BH21" i="8" s="1"/>
  <c r="BH22" i="8" s="1"/>
  <c r="BH23" i="8" s="1"/>
  <c r="BJ5" i="8"/>
  <c r="BJ6" i="8"/>
  <c r="BJ7" i="8"/>
  <c r="BJ8" i="8"/>
  <c r="BJ9" i="8"/>
  <c r="BJ10" i="8"/>
  <c r="BJ11" i="8"/>
  <c r="BJ12" i="8"/>
  <c r="BJ13" i="8"/>
  <c r="BJ14" i="8"/>
  <c r="BJ15" i="8"/>
  <c r="BJ16" i="8"/>
  <c r="BJ17" i="8"/>
  <c r="BJ18" i="8"/>
  <c r="BJ19" i="8"/>
  <c r="BJ20" i="8"/>
  <c r="BJ21" i="8"/>
  <c r="BJ22" i="8"/>
  <c r="BJ23" i="8"/>
  <c r="BJ4" i="8"/>
  <c r="BF4" i="8"/>
  <c r="BF5" i="8" s="1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BF16" i="8" s="1"/>
  <c r="BF17" i="8" s="1"/>
  <c r="BF18" i="8" s="1"/>
  <c r="BF19" i="8" s="1"/>
  <c r="BF20" i="8" s="1"/>
  <c r="BF21" i="8" s="1"/>
  <c r="BF22" i="8" s="1"/>
  <c r="BF23" i="8" s="1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4" i="8"/>
  <c r="AU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4" i="8"/>
  <c r="AT5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R7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4" i="8"/>
  <c r="AR5" i="8"/>
  <c r="AR6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4" i="8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4" i="8"/>
  <c r="U4" i="8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1" i="8"/>
  <c r="AP22" i="8"/>
  <c r="AP23" i="8"/>
  <c r="AP4" i="8"/>
  <c r="Q4" i="8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S4" i="8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AG5" i="8" l="1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4" i="8"/>
  <c r="AM5" i="8"/>
  <c r="AN5" i="8"/>
  <c r="AO5" i="8"/>
  <c r="AM6" i="8"/>
  <c r="AN6" i="8"/>
  <c r="AO6" i="8"/>
  <c r="AM7" i="8"/>
  <c r="AN7" i="8"/>
  <c r="AO7" i="8"/>
  <c r="AM8" i="8"/>
  <c r="AN8" i="8"/>
  <c r="AO8" i="8"/>
  <c r="AM9" i="8"/>
  <c r="AN9" i="8"/>
  <c r="AO9" i="8"/>
  <c r="AM10" i="8"/>
  <c r="AN10" i="8"/>
  <c r="AO10" i="8"/>
  <c r="AM11" i="8"/>
  <c r="AN11" i="8"/>
  <c r="AO11" i="8"/>
  <c r="AM12" i="8"/>
  <c r="AN12" i="8"/>
  <c r="AO12" i="8"/>
  <c r="AM13" i="8"/>
  <c r="AN13" i="8"/>
  <c r="AO13" i="8"/>
  <c r="AM14" i="8"/>
  <c r="AN14" i="8"/>
  <c r="AO14" i="8"/>
  <c r="AM15" i="8"/>
  <c r="AN15" i="8"/>
  <c r="AO15" i="8"/>
  <c r="AM16" i="8"/>
  <c r="AN16" i="8"/>
  <c r="AO16" i="8"/>
  <c r="AM17" i="8"/>
  <c r="AN17" i="8"/>
  <c r="AO17" i="8"/>
  <c r="AM18" i="8"/>
  <c r="AN18" i="8"/>
  <c r="AO18" i="8"/>
  <c r="AM19" i="8"/>
  <c r="AN19" i="8"/>
  <c r="AO19" i="8"/>
  <c r="AM20" i="8"/>
  <c r="AN20" i="8"/>
  <c r="AO20" i="8"/>
  <c r="AM21" i="8"/>
  <c r="AN21" i="8"/>
  <c r="AO21" i="8"/>
  <c r="AM22" i="8"/>
  <c r="AN22" i="8"/>
  <c r="AO22" i="8"/>
  <c r="AM23" i="8"/>
  <c r="AN23" i="8"/>
  <c r="AO23" i="8"/>
  <c r="AO4" i="8"/>
  <c r="AN4" i="8"/>
  <c r="AM4" i="8"/>
  <c r="G4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F4" i="4"/>
  <c r="F5" i="4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4" i="8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4" i="8"/>
  <c r="E4" i="8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4" i="8"/>
  <c r="O4" i="8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M4" i="8"/>
  <c r="M5" i="8" s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H4" i="4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J23" i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6" i="1"/>
  <c r="R6" i="1" s="1"/>
  <c r="T4" i="4" l="1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F6" i="4"/>
  <c r="T5" i="4"/>
  <c r="Z23" i="8"/>
  <c r="Y4" i="8"/>
  <c r="M6" i="8"/>
  <c r="Y5" i="8"/>
  <c r="Z22" i="8"/>
  <c r="Z18" i="8"/>
  <c r="Z14" i="8"/>
  <c r="Z10" i="8"/>
  <c r="Z6" i="8"/>
  <c r="Z19" i="8"/>
  <c r="Z15" i="8"/>
  <c r="Z11" i="8"/>
  <c r="Z7" i="8"/>
  <c r="Z13" i="8"/>
  <c r="X6" i="8"/>
  <c r="Z21" i="8"/>
  <c r="Z17" i="8"/>
  <c r="Z9" i="8"/>
  <c r="Z5" i="8"/>
  <c r="X5" i="8"/>
  <c r="Z4" i="8"/>
  <c r="Z20" i="8"/>
  <c r="Z16" i="8"/>
  <c r="Z12" i="8"/>
  <c r="Z8" i="8"/>
  <c r="X4" i="8"/>
  <c r="F7" i="4" l="1"/>
  <c r="T6" i="4"/>
  <c r="M7" i="8"/>
  <c r="Y6" i="8"/>
  <c r="R25" i="7"/>
  <c r="R26" i="7" s="1"/>
  <c r="Q25" i="7"/>
  <c r="U25" i="7"/>
  <c r="U26" i="7" s="1"/>
  <c r="T25" i="7"/>
  <c r="T26" i="7" s="1"/>
  <c r="S25" i="7"/>
  <c r="S26" i="7" s="1"/>
  <c r="Y3" i="7"/>
  <c r="Z3" i="7"/>
  <c r="AA3" i="7"/>
  <c r="AB3" i="7"/>
  <c r="Y4" i="7"/>
  <c r="Z4" i="7"/>
  <c r="AA4" i="7"/>
  <c r="AB4" i="7"/>
  <c r="Y5" i="7"/>
  <c r="Z5" i="7"/>
  <c r="AA5" i="7"/>
  <c r="AB5" i="7"/>
  <c r="Y6" i="7"/>
  <c r="Z6" i="7"/>
  <c r="AA6" i="7"/>
  <c r="AB6" i="7"/>
  <c r="Y7" i="7"/>
  <c r="Z7" i="7"/>
  <c r="AA7" i="7"/>
  <c r="AB7" i="7"/>
  <c r="Y8" i="7"/>
  <c r="Z8" i="7"/>
  <c r="AA8" i="7"/>
  <c r="AB8" i="7"/>
  <c r="Y9" i="7"/>
  <c r="Z9" i="7"/>
  <c r="AA9" i="7"/>
  <c r="AB9" i="7"/>
  <c r="Y10" i="7"/>
  <c r="Z10" i="7"/>
  <c r="AA10" i="7"/>
  <c r="AB10" i="7"/>
  <c r="Y11" i="7"/>
  <c r="Z11" i="7"/>
  <c r="AA11" i="7"/>
  <c r="AB11" i="7"/>
  <c r="Y12" i="7"/>
  <c r="Z12" i="7"/>
  <c r="AA12" i="7"/>
  <c r="AB12" i="7"/>
  <c r="Y13" i="7"/>
  <c r="Z13" i="7"/>
  <c r="AA13" i="7"/>
  <c r="AB13" i="7"/>
  <c r="Y14" i="7"/>
  <c r="Z14" i="7"/>
  <c r="AA14" i="7"/>
  <c r="AB14" i="7"/>
  <c r="Y15" i="7"/>
  <c r="Z15" i="7"/>
  <c r="AA15" i="7"/>
  <c r="AB15" i="7"/>
  <c r="Y16" i="7"/>
  <c r="Z16" i="7"/>
  <c r="AA16" i="7"/>
  <c r="AB16" i="7"/>
  <c r="Y17" i="7"/>
  <c r="Z17" i="7"/>
  <c r="AA17" i="7"/>
  <c r="AB17" i="7"/>
  <c r="Y18" i="7"/>
  <c r="Z18" i="7"/>
  <c r="AA18" i="7"/>
  <c r="AB18" i="7"/>
  <c r="Y19" i="7"/>
  <c r="Z19" i="7"/>
  <c r="AA19" i="7"/>
  <c r="AB19" i="7"/>
  <c r="Y20" i="7"/>
  <c r="Z20" i="7"/>
  <c r="AA20" i="7"/>
  <c r="AB20" i="7"/>
  <c r="Y21" i="7"/>
  <c r="Z21" i="7"/>
  <c r="AA21" i="7"/>
  <c r="AB21" i="7"/>
  <c r="Y22" i="7"/>
  <c r="Z22" i="7"/>
  <c r="AA22" i="7"/>
  <c r="AB22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3" i="7"/>
  <c r="M2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3" i="7"/>
  <c r="B23" i="7"/>
  <c r="C23" i="7"/>
  <c r="E23" i="7"/>
  <c r="G23" i="7"/>
  <c r="I23" i="7"/>
  <c r="K2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3" i="7"/>
  <c r="AA25" i="7" l="1"/>
  <c r="AA26" i="7" s="1"/>
  <c r="AA23" i="7"/>
  <c r="Z25" i="7"/>
  <c r="Z26" i="7" s="1"/>
  <c r="X25" i="7"/>
  <c r="AB25" i="7"/>
  <c r="AB26" i="7" s="1"/>
  <c r="AB23" i="7"/>
  <c r="D23" i="7"/>
  <c r="F23" i="7"/>
  <c r="H23" i="7"/>
  <c r="J23" i="7"/>
  <c r="L23" i="7"/>
  <c r="Z23" i="7"/>
  <c r="N23" i="7"/>
  <c r="Y25" i="7"/>
  <c r="Y26" i="7" s="1"/>
  <c r="Y28" i="7"/>
  <c r="Y29" i="7" s="1"/>
  <c r="X23" i="7"/>
  <c r="Y23" i="7"/>
  <c r="F8" i="4"/>
  <c r="T7" i="4"/>
  <c r="M8" i="8"/>
  <c r="Y7" i="8"/>
  <c r="X7" i="8"/>
  <c r="F9" i="4" l="1"/>
  <c r="T8" i="4"/>
  <c r="M9" i="8"/>
  <c r="Y8" i="8"/>
  <c r="X8" i="8"/>
  <c r="C20" i="1"/>
  <c r="H5" i="6"/>
  <c r="H4" i="6"/>
  <c r="I5" i="6" s="1"/>
  <c r="B8" i="6" s="1"/>
  <c r="F10" i="4" l="1"/>
  <c r="T9" i="4"/>
  <c r="M10" i="8"/>
  <c r="Y9" i="8"/>
  <c r="X9" i="8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F11" i="4" l="1"/>
  <c r="T10" i="4"/>
  <c r="M11" i="8"/>
  <c r="Y10" i="8"/>
  <c r="X10" i="8"/>
  <c r="P16" i="4"/>
  <c r="P17" i="4" s="1"/>
  <c r="P18" i="4" s="1"/>
  <c r="P19" i="4" s="1"/>
  <c r="P20" i="4" s="1"/>
  <c r="P21" i="4" s="1"/>
  <c r="P22" i="4" s="1"/>
  <c r="P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N27" i="5"/>
  <c r="S28" i="5"/>
  <c r="S29" i="5"/>
  <c r="S30" i="5"/>
  <c r="S31" i="5"/>
  <c r="S32" i="5"/>
  <c r="S27" i="5"/>
  <c r="R28" i="5"/>
  <c r="R29" i="5"/>
  <c r="R30" i="5"/>
  <c r="R31" i="5"/>
  <c r="T31" i="5" s="1"/>
  <c r="R32" i="5"/>
  <c r="R27" i="5"/>
  <c r="N28" i="5"/>
  <c r="N29" i="5"/>
  <c r="N30" i="5"/>
  <c r="N31" i="5"/>
  <c r="N32" i="5"/>
  <c r="T30" i="5" l="1"/>
  <c r="T32" i="5"/>
  <c r="T28" i="5"/>
  <c r="T27" i="5"/>
  <c r="T29" i="5"/>
  <c r="F12" i="4"/>
  <c r="T11" i="4"/>
  <c r="M12" i="8"/>
  <c r="Y11" i="8"/>
  <c r="X11" i="8"/>
  <c r="E27" i="5"/>
  <c r="L27" i="5"/>
  <c r="E28" i="5"/>
  <c r="L28" i="5"/>
  <c r="E29" i="5"/>
  <c r="L29" i="5"/>
  <c r="E30" i="5"/>
  <c r="L30" i="5"/>
  <c r="E31" i="5"/>
  <c r="L31" i="5"/>
  <c r="E32" i="5"/>
  <c r="F38" i="5" s="1"/>
  <c r="L32" i="5"/>
  <c r="M37" i="5" s="1"/>
  <c r="S37" i="5" s="1"/>
  <c r="E33" i="5"/>
  <c r="L33" i="5"/>
  <c r="E34" i="5"/>
  <c r="L34" i="5"/>
  <c r="E35" i="5"/>
  <c r="L35" i="5"/>
  <c r="E36" i="5"/>
  <c r="L36" i="5"/>
  <c r="M36" i="5"/>
  <c r="S36" i="5" s="1"/>
  <c r="E37" i="5"/>
  <c r="L37" i="5"/>
  <c r="E38" i="5"/>
  <c r="L38" i="5"/>
  <c r="E39" i="5"/>
  <c r="F39" i="5"/>
  <c r="L39" i="5"/>
  <c r="E40" i="5"/>
  <c r="L40" i="5"/>
  <c r="M42" i="5"/>
  <c r="S42" i="5" s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4" i="5"/>
  <c r="P4" i="5"/>
  <c r="O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4" i="5"/>
  <c r="E5" i="5"/>
  <c r="O5" i="5" s="1"/>
  <c r="G4" i="5"/>
  <c r="M4" i="5" s="1"/>
  <c r="F45" i="5" l="1"/>
  <c r="F40" i="5"/>
  <c r="R40" i="5" s="1"/>
  <c r="F42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M35" i="5"/>
  <c r="S3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O23" i="5" s="1"/>
  <c r="M33" i="5"/>
  <c r="S33" i="5" s="1"/>
  <c r="M34" i="5"/>
  <c r="S34" i="5" s="1"/>
  <c r="R38" i="5"/>
  <c r="R45" i="5"/>
  <c r="R39" i="5"/>
  <c r="P5" i="5"/>
  <c r="M44" i="5"/>
  <c r="S44" i="5" s="1"/>
  <c r="R42" i="5"/>
  <c r="T42" i="5" s="1"/>
  <c r="N42" i="5"/>
  <c r="F44" i="5"/>
  <c r="M41" i="5"/>
  <c r="S41" i="5" s="1"/>
  <c r="F37" i="5"/>
  <c r="F36" i="5"/>
  <c r="F35" i="5"/>
  <c r="F34" i="5"/>
  <c r="F33" i="5"/>
  <c r="F46" i="5"/>
  <c r="F43" i="5"/>
  <c r="F41" i="5"/>
  <c r="F13" i="4"/>
  <c r="T12" i="4"/>
  <c r="M13" i="8"/>
  <c r="Y12" i="8"/>
  <c r="X12" i="8"/>
  <c r="M45" i="5"/>
  <c r="S45" i="5" s="1"/>
  <c r="M46" i="5"/>
  <c r="S46" i="5" s="1"/>
  <c r="M43" i="5"/>
  <c r="S43" i="5" s="1"/>
  <c r="M40" i="5"/>
  <c r="S40" i="5" s="1"/>
  <c r="M39" i="5"/>
  <c r="S39" i="5" s="1"/>
  <c r="M38" i="5"/>
  <c r="S38" i="5" s="1"/>
  <c r="P9" i="5"/>
  <c r="P13" i="5"/>
  <c r="P11" i="5"/>
  <c r="P14" i="5"/>
  <c r="P6" i="5"/>
  <c r="P16" i="5"/>
  <c r="O14" i="5"/>
  <c r="O22" i="5"/>
  <c r="O13" i="5"/>
  <c r="O12" i="5"/>
  <c r="O11" i="5"/>
  <c r="M8" i="5"/>
  <c r="C4" i="5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M10" i="5" l="1"/>
  <c r="M7" i="5"/>
  <c r="M16" i="5"/>
  <c r="M15" i="5"/>
  <c r="M9" i="5"/>
  <c r="M5" i="5"/>
  <c r="N38" i="5"/>
  <c r="O20" i="5"/>
  <c r="P20" i="5"/>
  <c r="P17" i="5"/>
  <c r="M6" i="5"/>
  <c r="M11" i="5"/>
  <c r="M12" i="5"/>
  <c r="O7" i="5"/>
  <c r="O8" i="5"/>
  <c r="O9" i="5"/>
  <c r="O18" i="5"/>
  <c r="P19" i="5"/>
  <c r="P10" i="5"/>
  <c r="P7" i="5"/>
  <c r="O6" i="5"/>
  <c r="P12" i="5"/>
  <c r="N40" i="5"/>
  <c r="M14" i="5"/>
  <c r="M13" i="5"/>
  <c r="O15" i="5"/>
  <c r="O16" i="5"/>
  <c r="O17" i="5"/>
  <c r="O10" i="5"/>
  <c r="P21" i="5"/>
  <c r="P18" i="5"/>
  <c r="P15" i="5"/>
  <c r="P8" i="5"/>
  <c r="P22" i="5"/>
  <c r="N39" i="5"/>
  <c r="O19" i="5"/>
  <c r="O21" i="5"/>
  <c r="P23" i="5"/>
  <c r="R46" i="5"/>
  <c r="T46" i="5" s="1"/>
  <c r="N46" i="5"/>
  <c r="R36" i="5"/>
  <c r="T36" i="5" s="1"/>
  <c r="N36" i="5"/>
  <c r="N45" i="5"/>
  <c r="N33" i="5"/>
  <c r="R33" i="5"/>
  <c r="T33" i="5" s="1"/>
  <c r="R37" i="5"/>
  <c r="T37" i="5" s="1"/>
  <c r="N37" i="5"/>
  <c r="T40" i="5"/>
  <c r="T45" i="5"/>
  <c r="R4" i="5"/>
  <c r="N4" i="5"/>
  <c r="K4" i="5"/>
  <c r="Q4" i="5"/>
  <c r="L4" i="5"/>
  <c r="N41" i="5"/>
  <c r="R41" i="5"/>
  <c r="T41" i="5" s="1"/>
  <c r="R34" i="5"/>
  <c r="T34" i="5" s="1"/>
  <c r="N34" i="5"/>
  <c r="C5" i="5"/>
  <c r="R43" i="5"/>
  <c r="T43" i="5" s="1"/>
  <c r="N43" i="5"/>
  <c r="R35" i="5"/>
  <c r="T35" i="5" s="1"/>
  <c r="N35" i="5"/>
  <c r="R44" i="5"/>
  <c r="T44" i="5" s="1"/>
  <c r="N44" i="5"/>
  <c r="T39" i="5"/>
  <c r="T38" i="5"/>
  <c r="F14" i="4"/>
  <c r="T13" i="4"/>
  <c r="M14" i="8"/>
  <c r="Y13" i="8"/>
  <c r="X13" i="8"/>
  <c r="G18" i="5"/>
  <c r="M17" i="5"/>
  <c r="J4" i="4"/>
  <c r="Q4" i="4" l="1"/>
  <c r="V4" i="4"/>
  <c r="R4" i="4"/>
  <c r="S4" i="4"/>
  <c r="C6" i="5"/>
  <c r="R5" i="5"/>
  <c r="Q5" i="5"/>
  <c r="N5" i="5"/>
  <c r="L5" i="5"/>
  <c r="K5" i="5"/>
  <c r="F15" i="4"/>
  <c r="T14" i="4"/>
  <c r="M15" i="8"/>
  <c r="Y14" i="8"/>
  <c r="X14" i="8"/>
  <c r="G19" i="5"/>
  <c r="M18" i="5"/>
  <c r="J5" i="4"/>
  <c r="V5" i="4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K6" i="1"/>
  <c r="K23" i="1"/>
  <c r="AD4" i="4"/>
  <c r="Y4" i="4" s="1"/>
  <c r="L6" i="5" l="1"/>
  <c r="N6" i="5"/>
  <c r="Q6" i="5"/>
  <c r="R6" i="5"/>
  <c r="C7" i="5"/>
  <c r="K6" i="5"/>
  <c r="U4" i="4"/>
  <c r="W4" i="4"/>
  <c r="X4" i="4"/>
  <c r="F16" i="4"/>
  <c r="T15" i="4"/>
  <c r="M16" i="8"/>
  <c r="Y15" i="8"/>
  <c r="X15" i="8"/>
  <c r="R5" i="4"/>
  <c r="Q5" i="4"/>
  <c r="G20" i="5"/>
  <c r="M19" i="5"/>
  <c r="S5" i="4"/>
  <c r="AD5" i="4"/>
  <c r="J6" i="4"/>
  <c r="V6" i="4" s="1"/>
  <c r="Q7" i="5" l="1"/>
  <c r="N7" i="5"/>
  <c r="R7" i="5"/>
  <c r="L7" i="5"/>
  <c r="C8" i="5"/>
  <c r="K7" i="5"/>
  <c r="AD6" i="4"/>
  <c r="Y6" i="4" s="1"/>
  <c r="U5" i="4"/>
  <c r="W5" i="4"/>
  <c r="X5" i="4"/>
  <c r="F17" i="4"/>
  <c r="T16" i="4"/>
  <c r="M17" i="8"/>
  <c r="Y16" i="8"/>
  <c r="X16" i="8"/>
  <c r="Q6" i="4"/>
  <c r="R6" i="4"/>
  <c r="G21" i="5"/>
  <c r="M20" i="5"/>
  <c r="S6" i="4"/>
  <c r="Y5" i="4"/>
  <c r="J7" i="4"/>
  <c r="V7" i="4" s="1"/>
  <c r="AP4" i="4"/>
  <c r="AM4" i="4"/>
  <c r="AN4" i="4" s="1"/>
  <c r="AI4" i="4"/>
  <c r="AP5" i="4" l="1"/>
  <c r="AQ4" i="4"/>
  <c r="R8" i="5"/>
  <c r="Q8" i="5"/>
  <c r="N8" i="5"/>
  <c r="C9" i="5"/>
  <c r="L8" i="5"/>
  <c r="K8" i="5"/>
  <c r="AA4" i="4"/>
  <c r="AS4" i="4"/>
  <c r="AK4" i="4"/>
  <c r="U6" i="4"/>
  <c r="X6" i="4"/>
  <c r="W6" i="4"/>
  <c r="F18" i="4"/>
  <c r="T17" i="4"/>
  <c r="M18" i="8"/>
  <c r="Y17" i="8"/>
  <c r="X17" i="8"/>
  <c r="R7" i="4"/>
  <c r="Q7" i="4"/>
  <c r="G22" i="5"/>
  <c r="M21" i="5"/>
  <c r="AI5" i="4"/>
  <c r="AM5" i="4"/>
  <c r="AN5" i="4" s="1"/>
  <c r="AB4" i="4"/>
  <c r="S7" i="4"/>
  <c r="J8" i="4"/>
  <c r="V8" i="4" s="1"/>
  <c r="AF4" i="4"/>
  <c r="AG4" i="4" s="1"/>
  <c r="AD7" i="4"/>
  <c r="U7" i="4" s="1"/>
  <c r="R9" i="5" l="1"/>
  <c r="Q9" i="5"/>
  <c r="N9" i="5"/>
  <c r="C10" i="5"/>
  <c r="K9" i="5"/>
  <c r="L9" i="5"/>
  <c r="AR4" i="4"/>
  <c r="AS5" i="4"/>
  <c r="AK5" i="4"/>
  <c r="AP6" i="4"/>
  <c r="AQ5" i="4"/>
  <c r="Y7" i="4"/>
  <c r="F19" i="4"/>
  <c r="T18" i="4"/>
  <c r="W7" i="4"/>
  <c r="X7" i="4"/>
  <c r="M19" i="8"/>
  <c r="Y18" i="8"/>
  <c r="X18" i="8"/>
  <c r="R8" i="4"/>
  <c r="Q8" i="4"/>
  <c r="G23" i="5"/>
  <c r="M22" i="5"/>
  <c r="S8" i="4"/>
  <c r="AA5" i="4"/>
  <c r="AI6" i="4"/>
  <c r="AM6" i="4"/>
  <c r="AN6" i="4" s="1"/>
  <c r="AB5" i="4"/>
  <c r="AF5" i="4"/>
  <c r="AG5" i="4" s="1"/>
  <c r="Z4" i="4"/>
  <c r="AJ4" i="4"/>
  <c r="J9" i="4"/>
  <c r="V9" i="4" s="1"/>
  <c r="AD8" i="4"/>
  <c r="U8" i="4" s="1"/>
  <c r="C24" i="2"/>
  <c r="C25" i="2"/>
  <c r="C26" i="2"/>
  <c r="C27" i="2"/>
  <c r="C28" i="2"/>
  <c r="C29" i="2"/>
  <c r="C30" i="2"/>
  <c r="C31" i="2"/>
  <c r="C32" i="2"/>
  <c r="D32" i="2" s="1"/>
  <c r="C33" i="2"/>
  <c r="C34" i="2"/>
  <c r="C35" i="2"/>
  <c r="C36" i="2"/>
  <c r="C37" i="2"/>
  <c r="C23" i="2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3" i="3"/>
  <c r="C7" i="3"/>
  <c r="C8" i="3"/>
  <c r="D8" i="3" s="1"/>
  <c r="C9" i="3"/>
  <c r="C10" i="3"/>
  <c r="C11" i="3"/>
  <c r="C12" i="3"/>
  <c r="C13" i="3"/>
  <c r="C14" i="3"/>
  <c r="C15" i="3"/>
  <c r="C16" i="3"/>
  <c r="C17" i="3"/>
  <c r="C18" i="3"/>
  <c r="C19" i="3"/>
  <c r="C20" i="3"/>
  <c r="C6" i="3"/>
  <c r="D23" i="3"/>
  <c r="AR5" i="4" l="1"/>
  <c r="N10" i="5"/>
  <c r="Q10" i="5"/>
  <c r="R10" i="5"/>
  <c r="C11" i="5"/>
  <c r="K10" i="5"/>
  <c r="L10" i="5"/>
  <c r="AQ6" i="4"/>
  <c r="AP7" i="4"/>
  <c r="F20" i="4"/>
  <c r="T19" i="4"/>
  <c r="Y8" i="4"/>
  <c r="X8" i="4"/>
  <c r="W8" i="4"/>
  <c r="AS6" i="4"/>
  <c r="AK6" i="4"/>
  <c r="M20" i="8"/>
  <c r="Y19" i="8"/>
  <c r="X19" i="8"/>
  <c r="Q9" i="4"/>
  <c r="R9" i="4"/>
  <c r="M23" i="5"/>
  <c r="AI7" i="4"/>
  <c r="AA6" i="4"/>
  <c r="S9" i="4"/>
  <c r="AM7" i="4"/>
  <c r="AN7" i="4" s="1"/>
  <c r="AB6" i="4"/>
  <c r="J10" i="4"/>
  <c r="V10" i="4" s="1"/>
  <c r="AF6" i="4"/>
  <c r="AG6" i="4" s="1"/>
  <c r="Z5" i="4"/>
  <c r="AJ5" i="4"/>
  <c r="AD9" i="4"/>
  <c r="U9" i="4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0" i="3"/>
  <c r="D19" i="3"/>
  <c r="D18" i="3"/>
  <c r="D17" i="3"/>
  <c r="D16" i="3"/>
  <c r="D15" i="3"/>
  <c r="D14" i="3"/>
  <c r="D13" i="3"/>
  <c r="D12" i="3"/>
  <c r="D11" i="3"/>
  <c r="D10" i="3"/>
  <c r="D9" i="3"/>
  <c r="D7" i="3"/>
  <c r="D6" i="3"/>
  <c r="C23" i="1"/>
  <c r="C24" i="1"/>
  <c r="C25" i="1"/>
  <c r="C26" i="1"/>
  <c r="C27" i="1"/>
  <c r="C28" i="1"/>
  <c r="D28" i="1" s="1"/>
  <c r="C29" i="1"/>
  <c r="C30" i="1"/>
  <c r="D30" i="1" s="1"/>
  <c r="C31" i="1"/>
  <c r="C32" i="1"/>
  <c r="C33" i="1"/>
  <c r="C34" i="1"/>
  <c r="C35" i="1"/>
  <c r="C36" i="1"/>
  <c r="C37" i="1"/>
  <c r="D20" i="1"/>
  <c r="D37" i="2"/>
  <c r="D36" i="2"/>
  <c r="D35" i="2"/>
  <c r="D34" i="2"/>
  <c r="D33" i="2"/>
  <c r="D31" i="2"/>
  <c r="D30" i="2"/>
  <c r="D29" i="2"/>
  <c r="D28" i="2"/>
  <c r="D27" i="2"/>
  <c r="D26" i="2"/>
  <c r="D25" i="2"/>
  <c r="D24" i="2"/>
  <c r="D23" i="2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AP8" i="4" l="1"/>
  <c r="AQ7" i="4"/>
  <c r="Q11" i="5"/>
  <c r="N11" i="5"/>
  <c r="R11" i="5"/>
  <c r="L11" i="5"/>
  <c r="C12" i="5"/>
  <c r="K11" i="5"/>
  <c r="AR6" i="4"/>
  <c r="F21" i="4"/>
  <c r="T20" i="4"/>
  <c r="W9" i="4"/>
  <c r="X9" i="4"/>
  <c r="AS7" i="4"/>
  <c r="AK7" i="4"/>
  <c r="Y9" i="4"/>
  <c r="M21" i="8"/>
  <c r="Y20" i="8"/>
  <c r="X20" i="8"/>
  <c r="R10" i="4"/>
  <c r="Q10" i="4"/>
  <c r="S10" i="4"/>
  <c r="AI8" i="4"/>
  <c r="AA7" i="4"/>
  <c r="AM8" i="4"/>
  <c r="AN8" i="4" s="1"/>
  <c r="AB7" i="4"/>
  <c r="Z6" i="4"/>
  <c r="AF7" i="4"/>
  <c r="AG7" i="4" s="1"/>
  <c r="AJ6" i="4"/>
  <c r="J11" i="4"/>
  <c r="V11" i="4" s="1"/>
  <c r="AD10" i="4"/>
  <c r="U10" i="4" s="1"/>
  <c r="D16" i="1"/>
  <c r="D35" i="1"/>
  <c r="D6" i="1"/>
  <c r="D7" i="1"/>
  <c r="D8" i="1"/>
  <c r="D9" i="1"/>
  <c r="D10" i="1"/>
  <c r="D11" i="1"/>
  <c r="D12" i="1"/>
  <c r="D13" i="1"/>
  <c r="D14" i="1"/>
  <c r="D15" i="1"/>
  <c r="D17" i="1"/>
  <c r="D18" i="1"/>
  <c r="D19" i="1"/>
  <c r="D23" i="1"/>
  <c r="D24" i="1"/>
  <c r="D25" i="1"/>
  <c r="D26" i="1"/>
  <c r="D27" i="1"/>
  <c r="D29" i="1"/>
  <c r="D31" i="1"/>
  <c r="D32" i="1"/>
  <c r="D33" i="1"/>
  <c r="D34" i="1"/>
  <c r="D36" i="1"/>
  <c r="D37" i="1"/>
  <c r="AP9" i="4" l="1"/>
  <c r="AQ8" i="4"/>
  <c r="R12" i="5"/>
  <c r="N12" i="5"/>
  <c r="Q12" i="5"/>
  <c r="L12" i="5"/>
  <c r="K12" i="5"/>
  <c r="C13" i="5"/>
  <c r="F22" i="4"/>
  <c r="T21" i="4"/>
  <c r="AR7" i="4"/>
  <c r="X10" i="4"/>
  <c r="W10" i="4"/>
  <c r="AS8" i="4"/>
  <c r="AK8" i="4"/>
  <c r="Y10" i="4"/>
  <c r="M22" i="8"/>
  <c r="M23" i="8" s="1"/>
  <c r="Y21" i="8"/>
  <c r="X21" i="8"/>
  <c r="R11" i="4"/>
  <c r="Q11" i="4"/>
  <c r="S11" i="4"/>
  <c r="AI9" i="4"/>
  <c r="AA8" i="4"/>
  <c r="AM9" i="4"/>
  <c r="AN9" i="4" s="1"/>
  <c r="AB8" i="4"/>
  <c r="Z7" i="4"/>
  <c r="AF8" i="4"/>
  <c r="AG8" i="4" s="1"/>
  <c r="AJ7" i="4"/>
  <c r="J12" i="4"/>
  <c r="V12" i="4" s="1"/>
  <c r="AD11" i="4"/>
  <c r="U11" i="4" s="1"/>
  <c r="N13" i="5" l="1"/>
  <c r="R13" i="5"/>
  <c r="Q13" i="5"/>
  <c r="K13" i="5"/>
  <c r="C14" i="5"/>
  <c r="L13" i="5"/>
  <c r="AQ9" i="4"/>
  <c r="AP10" i="4"/>
  <c r="F23" i="4"/>
  <c r="T23" i="4" s="1"/>
  <c r="T22" i="4"/>
  <c r="X11" i="4"/>
  <c r="W11" i="4"/>
  <c r="AS9" i="4"/>
  <c r="AK9" i="4"/>
  <c r="Y11" i="4"/>
  <c r="AR8" i="4"/>
  <c r="Y22" i="8"/>
  <c r="X22" i="8"/>
  <c r="Q12" i="4"/>
  <c r="R12" i="4"/>
  <c r="S12" i="4"/>
  <c r="AI10" i="4"/>
  <c r="AA9" i="4"/>
  <c r="AM10" i="4"/>
  <c r="AN10" i="4" s="1"/>
  <c r="AB9" i="4"/>
  <c r="Z8" i="4"/>
  <c r="AF9" i="4"/>
  <c r="AG9" i="4" s="1"/>
  <c r="AJ8" i="4"/>
  <c r="J13" i="4"/>
  <c r="V13" i="4" s="1"/>
  <c r="AD12" i="4"/>
  <c r="U12" i="4" s="1"/>
  <c r="AQ10" i="4" l="1"/>
  <c r="AP11" i="4"/>
  <c r="N14" i="5"/>
  <c r="R14" i="5"/>
  <c r="Q14" i="5"/>
  <c r="L14" i="5"/>
  <c r="C15" i="5"/>
  <c r="K14" i="5"/>
  <c r="AS10" i="4"/>
  <c r="AK10" i="4"/>
  <c r="X12" i="4"/>
  <c r="W12" i="4"/>
  <c r="Y12" i="4"/>
  <c r="AR9" i="4"/>
  <c r="Y23" i="8"/>
  <c r="X23" i="8"/>
  <c r="R13" i="4"/>
  <c r="Q13" i="4"/>
  <c r="S13" i="4"/>
  <c r="AI11" i="4"/>
  <c r="AA10" i="4"/>
  <c r="AM11" i="4"/>
  <c r="AN11" i="4" s="1"/>
  <c r="AB10" i="4"/>
  <c r="Z9" i="4"/>
  <c r="AF10" i="4"/>
  <c r="AG10" i="4" s="1"/>
  <c r="AJ9" i="4"/>
  <c r="J14" i="4"/>
  <c r="V14" i="4" s="1"/>
  <c r="AD13" i="4"/>
  <c r="U13" i="4" s="1"/>
  <c r="Q15" i="5" l="1"/>
  <c r="N15" i="5"/>
  <c r="R15" i="5"/>
  <c r="L15" i="5"/>
  <c r="K15" i="5"/>
  <c r="C16" i="5"/>
  <c r="AQ11" i="4"/>
  <c r="AP12" i="4"/>
  <c r="Y13" i="4"/>
  <c r="X13" i="4"/>
  <c r="W13" i="4"/>
  <c r="AS11" i="4"/>
  <c r="AK11" i="4"/>
  <c r="AR10" i="4"/>
  <c r="Q14" i="4"/>
  <c r="R14" i="4"/>
  <c r="AI12" i="4"/>
  <c r="AA11" i="4"/>
  <c r="AM12" i="4"/>
  <c r="AN12" i="4" s="1"/>
  <c r="AB11" i="4"/>
  <c r="S14" i="4"/>
  <c r="Z10" i="4"/>
  <c r="AF11" i="4"/>
  <c r="AG11" i="4" s="1"/>
  <c r="AJ10" i="4"/>
  <c r="J15" i="4"/>
  <c r="V15" i="4" s="1"/>
  <c r="AD14" i="4"/>
  <c r="U14" i="4" s="1"/>
  <c r="AR11" i="4" l="1"/>
  <c r="AP13" i="4"/>
  <c r="AQ12" i="4"/>
  <c r="R16" i="5"/>
  <c r="Q16" i="5"/>
  <c r="N16" i="5"/>
  <c r="K16" i="5"/>
  <c r="C17" i="5"/>
  <c r="L16" i="5"/>
  <c r="AS12" i="4"/>
  <c r="AK12" i="4"/>
  <c r="Y14" i="4"/>
  <c r="W14" i="4"/>
  <c r="X14" i="4"/>
  <c r="R15" i="4"/>
  <c r="Q15" i="4"/>
  <c r="S15" i="4"/>
  <c r="AI13" i="4"/>
  <c r="AA12" i="4"/>
  <c r="AM13" i="4"/>
  <c r="AN13" i="4" s="1"/>
  <c r="AB12" i="4"/>
  <c r="Z11" i="4"/>
  <c r="AF12" i="4"/>
  <c r="AG12" i="4" s="1"/>
  <c r="AJ11" i="4"/>
  <c r="J16" i="4"/>
  <c r="V16" i="4" s="1"/>
  <c r="AD15" i="4"/>
  <c r="U15" i="4" s="1"/>
  <c r="R17" i="5" l="1"/>
  <c r="Q17" i="5"/>
  <c r="N17" i="5"/>
  <c r="C18" i="5"/>
  <c r="K17" i="5"/>
  <c r="L17" i="5"/>
  <c r="AP14" i="4"/>
  <c r="AQ13" i="4"/>
  <c r="Y15" i="4"/>
  <c r="X15" i="4"/>
  <c r="W15" i="4"/>
  <c r="AS13" i="4"/>
  <c r="AK13" i="4"/>
  <c r="AR12" i="4"/>
  <c r="Q16" i="4"/>
  <c r="R16" i="4"/>
  <c r="AI14" i="4"/>
  <c r="AA13" i="4"/>
  <c r="AM14" i="4"/>
  <c r="AN14" i="4" s="1"/>
  <c r="AB13" i="4"/>
  <c r="S16" i="4"/>
  <c r="Z12" i="4"/>
  <c r="AF13" i="4"/>
  <c r="AG13" i="4" s="1"/>
  <c r="AJ12" i="4"/>
  <c r="J17" i="4"/>
  <c r="V17" i="4" s="1"/>
  <c r="AD16" i="4"/>
  <c r="U16" i="4" s="1"/>
  <c r="AP15" i="4" l="1"/>
  <c r="AQ14" i="4"/>
  <c r="N18" i="5"/>
  <c r="Q18" i="5"/>
  <c r="R18" i="5"/>
  <c r="K18" i="5"/>
  <c r="L18" i="5"/>
  <c r="C19" i="5"/>
  <c r="Y16" i="4"/>
  <c r="X16" i="4"/>
  <c r="W16" i="4"/>
  <c r="AS14" i="4"/>
  <c r="AK14" i="4"/>
  <c r="AR13" i="4"/>
  <c r="Q17" i="4"/>
  <c r="R17" i="4"/>
  <c r="S17" i="4"/>
  <c r="AI15" i="4"/>
  <c r="AA14" i="4"/>
  <c r="AM15" i="4"/>
  <c r="AN15" i="4" s="1"/>
  <c r="AB14" i="4"/>
  <c r="Z13" i="4"/>
  <c r="AJ13" i="4"/>
  <c r="AF14" i="4"/>
  <c r="AG14" i="4" s="1"/>
  <c r="J18" i="4"/>
  <c r="V18" i="4" s="1"/>
  <c r="AD17" i="4"/>
  <c r="U17" i="4" s="1"/>
  <c r="Q19" i="5" l="1"/>
  <c r="R19" i="5"/>
  <c r="N19" i="5"/>
  <c r="L19" i="5"/>
  <c r="C20" i="5"/>
  <c r="K19" i="5"/>
  <c r="AP16" i="4"/>
  <c r="AQ15" i="4"/>
  <c r="AS15" i="4"/>
  <c r="AK15" i="4"/>
  <c r="Y17" i="4"/>
  <c r="W17" i="4"/>
  <c r="X17" i="4"/>
  <c r="AR14" i="4"/>
  <c r="R18" i="4"/>
  <c r="Q18" i="4"/>
  <c r="S18" i="4"/>
  <c r="AI16" i="4"/>
  <c r="AA15" i="4"/>
  <c r="AM16" i="4"/>
  <c r="AN16" i="4" s="1"/>
  <c r="AB15" i="4"/>
  <c r="Z14" i="4"/>
  <c r="AJ14" i="4"/>
  <c r="AF15" i="4"/>
  <c r="AG15" i="4" s="1"/>
  <c r="J19" i="4"/>
  <c r="V19" i="4" s="1"/>
  <c r="AD18" i="4"/>
  <c r="U18" i="4" s="1"/>
  <c r="R20" i="5" l="1"/>
  <c r="Q20" i="5"/>
  <c r="N20" i="5"/>
  <c r="L20" i="5"/>
  <c r="C21" i="5"/>
  <c r="K20" i="5"/>
  <c r="AP17" i="4"/>
  <c r="AQ16" i="4"/>
  <c r="Y18" i="4"/>
  <c r="AR15" i="4"/>
  <c r="W18" i="4"/>
  <c r="X18" i="4"/>
  <c r="AS16" i="4"/>
  <c r="AK16" i="4"/>
  <c r="R19" i="4"/>
  <c r="Q19" i="4"/>
  <c r="S19" i="4"/>
  <c r="AI17" i="4"/>
  <c r="AA16" i="4"/>
  <c r="AM17" i="4"/>
  <c r="AN17" i="4" s="1"/>
  <c r="AB16" i="4"/>
  <c r="Z15" i="4"/>
  <c r="AF16" i="4"/>
  <c r="AG16" i="4" s="1"/>
  <c r="AJ15" i="4"/>
  <c r="J20" i="4"/>
  <c r="V20" i="4" s="1"/>
  <c r="AD19" i="4"/>
  <c r="U19" i="4" s="1"/>
  <c r="AP18" i="4" l="1"/>
  <c r="AQ17" i="4"/>
  <c r="N21" i="5"/>
  <c r="R21" i="5"/>
  <c r="Q21" i="5"/>
  <c r="L21" i="5"/>
  <c r="C22" i="5"/>
  <c r="K21" i="5"/>
  <c r="W19" i="4"/>
  <c r="X19" i="4"/>
  <c r="AS17" i="4"/>
  <c r="AK17" i="4"/>
  <c r="AR16" i="4"/>
  <c r="Y19" i="4"/>
  <c r="Q20" i="4"/>
  <c r="R20" i="4"/>
  <c r="S20" i="4"/>
  <c r="AI18" i="4"/>
  <c r="AA17" i="4"/>
  <c r="AM18" i="4"/>
  <c r="AN18" i="4" s="1"/>
  <c r="AB17" i="4"/>
  <c r="Z16" i="4"/>
  <c r="AF17" i="4"/>
  <c r="AG17" i="4" s="1"/>
  <c r="AJ16" i="4"/>
  <c r="J21" i="4"/>
  <c r="V21" i="4" s="1"/>
  <c r="AD20" i="4"/>
  <c r="U20" i="4" s="1"/>
  <c r="N22" i="5" l="1"/>
  <c r="R22" i="5"/>
  <c r="Q22" i="5"/>
  <c r="C23" i="5"/>
  <c r="K22" i="5"/>
  <c r="L22" i="5"/>
  <c r="AP19" i="4"/>
  <c r="AQ18" i="4"/>
  <c r="X20" i="4"/>
  <c r="W20" i="4"/>
  <c r="AS18" i="4"/>
  <c r="AK18" i="4"/>
  <c r="AR17" i="4"/>
  <c r="Y20" i="4"/>
  <c r="Q21" i="4"/>
  <c r="R21" i="4"/>
  <c r="AI19" i="4"/>
  <c r="AA18" i="4"/>
  <c r="S21" i="4"/>
  <c r="AM19" i="4"/>
  <c r="AN19" i="4" s="1"/>
  <c r="AB18" i="4"/>
  <c r="AF18" i="4"/>
  <c r="AG18" i="4" s="1"/>
  <c r="AJ17" i="4"/>
  <c r="Z17" i="4"/>
  <c r="J22" i="4"/>
  <c r="V22" i="4" s="1"/>
  <c r="AD21" i="4"/>
  <c r="U21" i="4" s="1"/>
  <c r="Y21" i="4" l="1"/>
  <c r="Q23" i="5"/>
  <c r="N23" i="5"/>
  <c r="R23" i="5"/>
  <c r="L23" i="5"/>
  <c r="K23" i="5"/>
  <c r="AP20" i="4"/>
  <c r="AQ19" i="4"/>
  <c r="AR18" i="4"/>
  <c r="AS19" i="4"/>
  <c r="AK19" i="4"/>
  <c r="X21" i="4"/>
  <c r="W21" i="4"/>
  <c r="Q22" i="4"/>
  <c r="R22" i="4"/>
  <c r="AI20" i="4"/>
  <c r="AA19" i="4"/>
  <c r="S22" i="4"/>
  <c r="AM20" i="4"/>
  <c r="AN20" i="4" s="1"/>
  <c r="AB19" i="4"/>
  <c r="J23" i="4"/>
  <c r="V23" i="4" s="1"/>
  <c r="Z18" i="4"/>
  <c r="AF19" i="4"/>
  <c r="AG19" i="4" s="1"/>
  <c r="AJ18" i="4"/>
  <c r="AD22" i="4"/>
  <c r="U22" i="4" s="1"/>
  <c r="AP21" i="4" l="1"/>
  <c r="AQ20" i="4"/>
  <c r="AR19" i="4"/>
  <c r="Y22" i="4"/>
  <c r="W22" i="4"/>
  <c r="X22" i="4"/>
  <c r="AS20" i="4"/>
  <c r="AK20" i="4"/>
  <c r="S23" i="4"/>
  <c r="R23" i="4"/>
  <c r="Q23" i="4"/>
  <c r="AM21" i="4"/>
  <c r="AN21" i="4" s="1"/>
  <c r="AB20" i="4"/>
  <c r="AI21" i="4"/>
  <c r="AA20" i="4"/>
  <c r="AF20" i="4"/>
  <c r="AJ19" i="4"/>
  <c r="Z19" i="4"/>
  <c r="AD23" i="4"/>
  <c r="U23" i="4" s="1"/>
  <c r="AQ21" i="4" l="1"/>
  <c r="AP22" i="4"/>
  <c r="AG20" i="4"/>
  <c r="Z20" i="4"/>
  <c r="Y23" i="4"/>
  <c r="W23" i="4"/>
  <c r="X23" i="4"/>
  <c r="AS21" i="4"/>
  <c r="AK21" i="4"/>
  <c r="AR20" i="4"/>
  <c r="AM22" i="4"/>
  <c r="AN22" i="4" s="1"/>
  <c r="AB21" i="4"/>
  <c r="AI22" i="4"/>
  <c r="AA21" i="4"/>
  <c r="AF21" i="4"/>
  <c r="AG21" i="4" s="1"/>
  <c r="AJ20" i="4"/>
  <c r="AP23" i="4" l="1"/>
  <c r="AQ23" i="4" s="1"/>
  <c r="AQ22" i="4"/>
  <c r="AR21" i="4"/>
  <c r="AS22" i="4"/>
  <c r="AK22" i="4"/>
  <c r="AM23" i="4"/>
  <c r="AN23" i="4" s="1"/>
  <c r="AB22" i="4"/>
  <c r="AI23" i="4"/>
  <c r="AA22" i="4"/>
  <c r="Z21" i="4"/>
  <c r="AF22" i="4"/>
  <c r="AG22" i="4" s="1"/>
  <c r="AJ21" i="4"/>
  <c r="AR22" i="4" l="1"/>
  <c r="AS23" i="4"/>
  <c r="AK23" i="4"/>
  <c r="AB23" i="4"/>
  <c r="AA23" i="4"/>
  <c r="Z22" i="4"/>
  <c r="AF23" i="4"/>
  <c r="AG23" i="4" s="1"/>
  <c r="AJ22" i="4"/>
  <c r="AR23" i="4" l="1"/>
  <c r="AJ23" i="4"/>
  <c r="Z2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<sst xmlns="http://schemas.openxmlformats.org/spreadsheetml/2006/main" count="1776" uniqueCount="447">
  <si>
    <t>PIN</t>
  </si>
  <si>
    <t>Raw</t>
  </si>
  <si>
    <t>Correction</t>
  </si>
  <si>
    <t xml:space="preserve"> </t>
  </si>
  <si>
    <t>Corrected</t>
  </si>
  <si>
    <t>Meas No</t>
  </si>
  <si>
    <t>STD DEV</t>
  </si>
  <si>
    <t>Merge8</t>
  </si>
  <si>
    <t>Merge7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</si>
  <si>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</si>
  <si>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</si>
  <si>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</si>
  <si>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</si>
  <si>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</si>
  <si>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</si>
  <si>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</si>
  <si>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</si>
  <si>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</si>
  <si>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</si>
  <si>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</si>
  <si>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</si>
  <si>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</si>
  <si>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</si>
  <si>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</si>
  <si>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</si>
  <si>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</si>
  <si>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</si>
  <si>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</si>
  <si>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</si>
  <si>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Diff 7-8</t>
  </si>
  <si>
    <t>Merge6</t>
  </si>
  <si>
    <t>Diff 6-8</t>
  </si>
  <si>
    <t>Merge 5</t>
  </si>
  <si>
    <t xml:space="preserve">Diff 5-8 </t>
  </si>
  <si>
    <t>Mege 4</t>
  </si>
  <si>
    <t>Diff 4-8</t>
  </si>
  <si>
    <t>Total</t>
  </si>
  <si>
    <t>Test 28</t>
  </si>
  <si>
    <t>Diff T28-M8</t>
  </si>
  <si>
    <t>Diff T28-M7</t>
  </si>
  <si>
    <t>Diff T28-M6</t>
  </si>
  <si>
    <t>Diff T28-M5</t>
  </si>
  <si>
    <t>Staff 210</t>
  </si>
  <si>
    <t>Diff T28-210</t>
  </si>
  <si>
    <t>Staff 211</t>
  </si>
  <si>
    <t>Diff</t>
  </si>
  <si>
    <t>Merge 7</t>
  </si>
  <si>
    <t>26296-210</t>
  </si>
  <si>
    <t>26296-211</t>
  </si>
  <si>
    <t>210-211</t>
  </si>
  <si>
    <t>26296-M7</t>
  </si>
  <si>
    <t>210-M7</t>
  </si>
  <si>
    <t>Merge 8</t>
  </si>
  <si>
    <t>210-M8</t>
  </si>
  <si>
    <t>26296-M8</t>
  </si>
  <si>
    <t>M7-M8</t>
  </si>
  <si>
    <t>Staff 26296_2</t>
  </si>
  <si>
    <t>Staff 26296_1</t>
  </si>
  <si>
    <t>A</t>
  </si>
  <si>
    <t>B</t>
  </si>
  <si>
    <t>M7-A</t>
  </si>
  <si>
    <t>M7-B</t>
  </si>
  <si>
    <t>total diff</t>
  </si>
  <si>
    <t>diff A-B</t>
  </si>
  <si>
    <t>Diff T28-211</t>
  </si>
  <si>
    <t>Staff 203</t>
  </si>
  <si>
    <t>Diff T28-203</t>
  </si>
  <si>
    <t>L'</t>
  </si>
  <si>
    <t>Observed length</t>
  </si>
  <si>
    <t xml:space="preserve">T </t>
  </si>
  <si>
    <t>Observed temperature</t>
  </si>
  <si>
    <t>Index correction</t>
  </si>
  <si>
    <t>Vg</t>
  </si>
  <si>
    <t>Graduation correction</t>
  </si>
  <si>
    <t>l  o</t>
  </si>
  <si>
    <t>L o = l o/k + Vk</t>
  </si>
  <si>
    <t>l o/k</t>
  </si>
  <si>
    <t>Vk</t>
  </si>
  <si>
    <t>L*[1+(3.81+(T-19.8)*0.000001]</t>
  </si>
  <si>
    <t>Merge 6</t>
  </si>
  <si>
    <t>Merge 4</t>
  </si>
  <si>
    <t>Merge 3</t>
  </si>
  <si>
    <t>Merge 2</t>
  </si>
  <si>
    <t>Merge 1</t>
  </si>
  <si>
    <t>Test 25</t>
  </si>
  <si>
    <t>3.80304</t>
  </si>
  <si>
    <t>3.80325</t>
  </si>
  <si>
    <t>Test 26</t>
  </si>
  <si>
    <t>Test 27</t>
  </si>
  <si>
    <t>Pin 1</t>
  </si>
  <si>
    <t>Pin 2</t>
  </si>
  <si>
    <t>Pin 3</t>
  </si>
  <si>
    <t>Pin 4</t>
  </si>
  <si>
    <t>Pin 5</t>
  </si>
  <si>
    <t>Pin 6</t>
  </si>
  <si>
    <t>Pin 7</t>
  </si>
  <si>
    <t>Pin 8</t>
  </si>
  <si>
    <t>Pin 9</t>
  </si>
  <si>
    <t>Pin 10</t>
  </si>
  <si>
    <t>Pin 11</t>
  </si>
  <si>
    <t>Pin 12</t>
  </si>
  <si>
    <t>Pin 13</t>
  </si>
  <si>
    <t>Pin 14</t>
  </si>
  <si>
    <t>Pin 15</t>
  </si>
  <si>
    <t>Pin 16</t>
  </si>
  <si>
    <t>Pin 17</t>
  </si>
  <si>
    <t>Pin 18</t>
  </si>
  <si>
    <t>Pin 19</t>
  </si>
  <si>
    <t>Pin 20</t>
  </si>
  <si>
    <t>Pin 21</t>
  </si>
  <si>
    <t>Test 22</t>
  </si>
  <si>
    <t>Test 23</t>
  </si>
  <si>
    <t>Test 24</t>
  </si>
  <si>
    <t>3.80366</t>
  </si>
  <si>
    <t>3.80375</t>
  </si>
  <si>
    <t>26296</t>
  </si>
  <si>
    <t>26909</t>
  </si>
  <si>
    <t>27690</t>
  </si>
  <si>
    <t>Test 19</t>
  </si>
  <si>
    <t>Test 20</t>
  </si>
  <si>
    <t>Test 21</t>
  </si>
  <si>
    <t>3.80311</t>
  </si>
  <si>
    <t>3.80305</t>
  </si>
  <si>
    <t>3.80315</t>
  </si>
  <si>
    <t>Test 16</t>
  </si>
  <si>
    <t>Test 17</t>
  </si>
  <si>
    <t>Test 18</t>
  </si>
  <si>
    <t>Merg 8</t>
  </si>
  <si>
    <t>3.80362</t>
  </si>
  <si>
    <t>3.80382</t>
  </si>
  <si>
    <t>Test 15</t>
  </si>
  <si>
    <t>3.80378</t>
  </si>
  <si>
    <t>3.08388</t>
  </si>
  <si>
    <t>Diff 6-7</t>
  </si>
  <si>
    <t>Diff 5-6</t>
  </si>
  <si>
    <t>Pin</t>
  </si>
  <si>
    <t>Diff M8-M7</t>
  </si>
  <si>
    <t>Diff M7-M6</t>
  </si>
  <si>
    <t>Diff M6-M5</t>
  </si>
  <si>
    <t>Diff M5-M4</t>
  </si>
  <si>
    <t>Diff M4-M3</t>
  </si>
  <si>
    <t>DNA03</t>
  </si>
  <si>
    <t>ABS value of diffs</t>
  </si>
  <si>
    <t>Test 29</t>
  </si>
  <si>
    <t>Test 30</t>
  </si>
  <si>
    <t>LS15</t>
  </si>
  <si>
    <t>.09085</t>
  </si>
  <si>
    <t>.16402</t>
  </si>
  <si>
    <t>.14613</t>
  </si>
  <si>
    <t>.21301</t>
  </si>
  <si>
    <t>.18613</t>
  </si>
  <si>
    <t>Diff T29-M8</t>
  </si>
  <si>
    <t>Diff T29-T28</t>
  </si>
  <si>
    <t>M8</t>
  </si>
  <si>
    <t>Bay</t>
  </si>
  <si>
    <t>T27-T26</t>
  </si>
  <si>
    <t>T26-T25</t>
  </si>
  <si>
    <t>T27-T25</t>
  </si>
  <si>
    <t>.09083</t>
  </si>
  <si>
    <t>T29-T27</t>
  </si>
  <si>
    <t>T29-T26</t>
  </si>
  <si>
    <t>T29-M8</t>
  </si>
  <si>
    <t>T27-M8</t>
  </si>
  <si>
    <t>T26-M8</t>
  </si>
  <si>
    <t>T25-M8</t>
  </si>
  <si>
    <t>.01</t>
  </si>
  <si>
    <t>.02</t>
  </si>
  <si>
    <t>.03</t>
  </si>
  <si>
    <t>.04</t>
  </si>
  <si>
    <t>.05</t>
  </si>
  <si>
    <t>3</t>
  </si>
  <si>
    <t>Diff T30-M8</t>
  </si>
  <si>
    <t>T30-T29</t>
  </si>
  <si>
    <t>T29-T28</t>
  </si>
  <si>
    <t>T30-T28</t>
  </si>
  <si>
    <t>T28-M8</t>
  </si>
  <si>
    <t>T30-M8</t>
  </si>
  <si>
    <t>Diff 7-6</t>
  </si>
  <si>
    <t>T28-M7</t>
  </si>
  <si>
    <t>T28-M6</t>
  </si>
  <si>
    <t>T28-M5</t>
  </si>
  <si>
    <t>T28-T24</t>
  </si>
  <si>
    <t>M8-M7</t>
  </si>
  <si>
    <t>M8-M6</t>
  </si>
  <si>
    <t>M8-M5</t>
  </si>
  <si>
    <t>T28-211</t>
  </si>
  <si>
    <t>T28-210</t>
  </si>
  <si>
    <t>M7</t>
  </si>
  <si>
    <t>M6</t>
  </si>
  <si>
    <t>M5</t>
  </si>
  <si>
    <t>Test 31</t>
  </si>
  <si>
    <t>Diff T31-M8</t>
  </si>
  <si>
    <t>Diff T31-T30</t>
  </si>
  <si>
    <t>Test 32</t>
  </si>
  <si>
    <t>Test 33</t>
  </si>
  <si>
    <t>Note: no corr. Between temp vs calibration, maybe try rainfall cumulative vs calibration</t>
  </si>
  <si>
    <t>Test 34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</si>
  <si>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</si>
  <si>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</si>
  <si>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</si>
  <si>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</si>
  <si>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</si>
  <si>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</si>
  <si>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</si>
  <si>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</si>
  <si>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</si>
  <si>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</si>
  <si>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</si>
  <si>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</si>
  <si>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</si>
  <si>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Interpolated</t>
  </si>
  <si>
    <t>Test 35</t>
  </si>
  <si>
    <t>vs Merge 3</t>
  </si>
  <si>
    <t>Test 36</t>
  </si>
  <si>
    <t>25yrs</t>
  </si>
  <si>
    <t>2018 Ave. Daily Temp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</si>
  <si>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</si>
  <si>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</si>
  <si>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</si>
  <si>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</si>
  <si>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</si>
  <si>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</si>
  <si>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</si>
  <si>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</si>
  <si>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</si>
  <si>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</si>
  <si>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Raw Data</t>
  </si>
  <si>
    <t>Trend (data - average data)</t>
  </si>
  <si>
    <t>Categorize by Month Data</t>
  </si>
  <si>
    <t>year 2019</t>
  </si>
  <si>
    <t>year 2018</t>
  </si>
  <si>
    <t>year 2017</t>
  </si>
  <si>
    <t>year 2015</t>
  </si>
  <si>
    <t>year 2013</t>
  </si>
  <si>
    <t>year 2011</t>
  </si>
  <si>
    <t>year 2009</t>
  </si>
  <si>
    <t>year 2007</t>
  </si>
  <si>
    <t>year 2002</t>
  </si>
  <si>
    <t>Interesting Fact: pre-2018 8-times Boya, 2018-2019 19-times Boya</t>
  </si>
  <si>
    <t>Average</t>
  </si>
  <si>
    <t>Current-M3</t>
  </si>
  <si>
    <t>Current-Ave.</t>
  </si>
  <si>
    <t>Min</t>
  </si>
  <si>
    <t>Max</t>
  </si>
  <si>
    <t>Range</t>
  </si>
  <si>
    <t>median</t>
  </si>
  <si>
    <t>Curr-M3</t>
  </si>
  <si>
    <t>Curr-Ave</t>
  </si>
  <si>
    <t>This graph makes no sense</t>
  </si>
  <si>
    <t>Trend - replace July 2019 data to 2007 data (data - average data)</t>
  </si>
  <si>
    <t>Year</t>
  </si>
  <si>
    <t>Day</t>
  </si>
  <si>
    <t>Maximum temperature (Degree C)</t>
  </si>
  <si>
    <t>Month Average</t>
  </si>
  <si>
    <t>Average Temp</t>
  </si>
  <si>
    <t>Minimum temperature (Degree C)</t>
  </si>
  <si>
    <t>Average temp (Deg C)</t>
  </si>
  <si>
    <t>Month Average Temp</t>
  </si>
  <si>
    <t>BoM- temperature</t>
  </si>
  <si>
    <t>Bom Monthly Mean</t>
  </si>
  <si>
    <t>BoM monthly mean</t>
  </si>
  <si>
    <t>Monthly mean</t>
  </si>
  <si>
    <t>Trend (data - average data) - replacing july 2019 with july2007 value</t>
  </si>
  <si>
    <t>Test 49</t>
  </si>
  <si>
    <t>Test 48</t>
  </si>
  <si>
    <t>Test 47</t>
  </si>
  <si>
    <t>Test 50</t>
  </si>
  <si>
    <t>June</t>
  </si>
  <si>
    <t>Test 51</t>
  </si>
  <si>
    <t>Pins</t>
  </si>
  <si>
    <t xml:space="preserve"> 1-2</t>
  </si>
  <si>
    <t xml:space="preserve"> 2-3</t>
  </si>
  <si>
    <t xml:space="preserve"> 3-4</t>
  </si>
  <si>
    <t xml:space="preserve"> 4-5</t>
  </si>
  <si>
    <t xml:space="preserve"> 6-7</t>
  </si>
  <si>
    <t xml:space="preserve"> 7-8</t>
  </si>
  <si>
    <t xml:space="preserve"> 8-9</t>
  </si>
  <si>
    <t xml:space="preserve"> 9-10</t>
  </si>
  <si>
    <t xml:space="preserve"> 10-11</t>
  </si>
  <si>
    <t xml:space="preserve"> 11-12</t>
  </si>
  <si>
    <t xml:space="preserve"> 12-13</t>
  </si>
  <si>
    <t xml:space="preserve"> 5-6</t>
  </si>
  <si>
    <t xml:space="preserve"> 13-14</t>
  </si>
  <si>
    <t xml:space="preserve"> 14-15</t>
  </si>
  <si>
    <t xml:space="preserve"> 15-16</t>
  </si>
  <si>
    <t xml:space="preserve"> 16-17</t>
  </si>
  <si>
    <t xml:space="preserve"> 17-18</t>
  </si>
  <si>
    <t xml:space="preserve"> 18-19</t>
  </si>
  <si>
    <t xml:space="preserve"> 19-20</t>
  </si>
  <si>
    <t xml:space="preserve"> 20-21</t>
  </si>
  <si>
    <t>Test 51:Boya</t>
  </si>
  <si>
    <t>Test 50:Boya</t>
  </si>
  <si>
    <t>Test 49:Boya</t>
  </si>
  <si>
    <t>Test 48:Boya</t>
  </si>
  <si>
    <t>Test 47:Boya</t>
  </si>
  <si>
    <t>Test 46:Boya</t>
  </si>
  <si>
    <t>Test 45:Boya</t>
  </si>
  <si>
    <t>Test 44:Boya</t>
  </si>
  <si>
    <t>Merge 8:Boya</t>
  </si>
  <si>
    <t>Merge 7:Boya</t>
  </si>
  <si>
    <t>Merge 6:Boya</t>
  </si>
  <si>
    <t>Merge 5:Boya</t>
  </si>
  <si>
    <t>Merge 4:Boya</t>
  </si>
  <si>
    <t>Merge 3:Boya</t>
  </si>
  <si>
    <t>Merge 2:Boya</t>
  </si>
  <si>
    <t>Merge 1:Boya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</si>
  <si>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T51-T50)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</si>
  <si>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</si>
  <si>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</si>
  <si>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</si>
  <si>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</si>
  <si>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</si>
  <si>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</si>
  <si>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</si>
  <si>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</si>
  <si>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</si>
  <si>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</si>
  <si>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</si>
  <si>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</si>
  <si>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M3-M2)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</si>
  <si>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M2-M1)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</si>
  <si>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T51-M8)</t>
    </r>
  </si>
  <si>
    <t>Using M8 as standard:</t>
  </si>
  <si>
    <t>Using M3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</si>
  <si>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</si>
  <si>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</si>
  <si>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</si>
  <si>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</si>
  <si>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</si>
  <si>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</si>
  <si>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</si>
  <si>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</si>
  <si>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</si>
  <si>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</si>
  <si>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</si>
  <si>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</si>
  <si>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</si>
  <si>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</si>
  <si>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</si>
  <si>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</si>
  <si>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</si>
  <si>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M5-M3)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</si>
  <si>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previous test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</si>
  <si>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M8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</si>
  <si>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M3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</si>
  <si>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Test44</t>
    </r>
    <r>
      <rPr>
        <sz val="12"/>
        <color theme="1"/>
        <rFont val="Arial"/>
        <family val="2"/>
      </rPr>
      <t>):</t>
    </r>
  </si>
  <si>
    <t>Using T44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</si>
  <si>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</si>
  <si>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</si>
  <si>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</si>
  <si>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</si>
  <si>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</si>
  <si>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T46-T44)</t>
    </r>
  </si>
  <si>
    <t>Min Δ</t>
  </si>
  <si>
    <t>Max Δ</t>
  </si>
  <si>
    <t>Range Δ</t>
  </si>
  <si>
    <t>Test 43:Boya</t>
  </si>
  <si>
    <t xml:space="preserve"> Test 42:Boya</t>
  </si>
  <si>
    <t xml:space="preserve"> Test 41:Boya</t>
  </si>
  <si>
    <t xml:space="preserve"> Test 40:Boya</t>
  </si>
  <si>
    <t xml:space="preserve"> Test 39:Boya</t>
  </si>
  <si>
    <t xml:space="preserve"> Test 38:Boya</t>
  </si>
  <si>
    <t xml:space="preserve"> Test 37:Boya</t>
  </si>
  <si>
    <t xml:space="preserve"> Test 36:Boya</t>
  </si>
  <si>
    <t xml:space="preserve"> Test 35:Boya</t>
  </si>
  <si>
    <t xml:space="preserve"> Test 34:Boya</t>
  </si>
  <si>
    <t xml:space="preserve"> Test 33:Boya</t>
  </si>
  <si>
    <t xml:space="preserve"> Test 32:Boya</t>
  </si>
  <si>
    <t xml:space="preserve"> Test 31:Boya</t>
  </si>
  <si>
    <t xml:space="preserve"> Test 30:Boya</t>
  </si>
  <si>
    <t xml:space="preserve"> Test 29:Boya</t>
  </si>
  <si>
    <t xml:space="preserve"> Test 28:Boya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</si>
  <si>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T44-T43)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</si>
  <si>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T43-T42)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</si>
  <si>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T42-T41)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</si>
  <si>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T41-T40)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</si>
  <si>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T40-T39)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</si>
  <si>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T39-T38)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</si>
  <si>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T38-T37)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</si>
  <si>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T37-T36)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</si>
  <si>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T36-T35)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</si>
  <si>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T35-T34)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</si>
  <si>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T34-T33)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</si>
  <si>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T33-T32)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</si>
  <si>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T32-T31)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</si>
  <si>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T31-T30)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</si>
  <si>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T30-T29)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</si>
  <si>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T29-T28)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</si>
  <si>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T28-M8)</t>
    </r>
  </si>
  <si>
    <r>
      <rPr>
        <sz val="12"/>
        <color theme="1"/>
        <rFont val="Calibri"/>
        <family val="2"/>
      </rPr>
      <t>ΔH</t>
    </r>
    <r>
      <rPr>
        <sz val="8.5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1-21</t>
    </r>
  </si>
  <si>
    <r>
      <rPr>
        <b/>
        <sz val="12"/>
        <color theme="1"/>
        <rFont val="Calibri"/>
        <family val="2"/>
      </rPr>
      <t>ΔH</t>
    </r>
    <r>
      <rPr>
        <b/>
        <sz val="8.5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1-21</t>
    </r>
  </si>
  <si>
    <t>Test 52:Boya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</si>
  <si>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</si>
  <si>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</si>
  <si>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T52-M3)</t>
    </r>
  </si>
  <si>
    <t>Test 52</t>
  </si>
  <si>
    <t>July</t>
  </si>
  <si>
    <t>Test 53:Boya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</si>
  <si>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T53-T52)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</si>
  <si>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T52-T51)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</si>
  <si>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</si>
  <si>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</si>
  <si>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T53-M3)</t>
    </r>
  </si>
  <si>
    <t>Test 53</t>
  </si>
  <si>
    <t>Test 54</t>
  </si>
  <si>
    <t>Test 54:Boya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</si>
  <si>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</si>
  <si>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</si>
  <si>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</si>
  <si>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T54-T53)</t>
    </r>
  </si>
  <si>
    <t>Test 55</t>
  </si>
  <si>
    <t>Test 55:Boya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</si>
  <si>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T55-T54)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</si>
  <si>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</si>
  <si>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</si>
  <si>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T56-T55)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</si>
  <si>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</si>
  <si>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T56-M3)</t>
    </r>
  </si>
  <si>
    <t>Test 56:Boya</t>
  </si>
  <si>
    <t>SN 702272</t>
  </si>
  <si>
    <t>Test 57:Boya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</si>
  <si>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T57-T56)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</si>
  <si>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</si>
  <si>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T57-M3)</t>
    </r>
  </si>
  <si>
    <t>Test 58</t>
  </si>
  <si>
    <t>Test 57</t>
  </si>
  <si>
    <t>Test 56</t>
  </si>
  <si>
    <t>Test 58:Boya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</si>
  <si>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T58-T57)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</si>
  <si>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</si>
  <si>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</si>
  <si>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T57-T44)</t>
    </r>
  </si>
  <si>
    <t>Mean monthly height differences between pillars</t>
  </si>
  <si>
    <t>Sum</t>
  </si>
  <si>
    <t>Staff 26296</t>
  </si>
  <si>
    <t>observed</t>
  </si>
  <si>
    <t>corrected</t>
  </si>
  <si>
    <t>std devn</t>
  </si>
  <si>
    <t>Staff 79918</t>
  </si>
  <si>
    <t xml:space="preserve"> 10-11 </t>
  </si>
  <si>
    <t>∆ observed</t>
  </si>
  <si>
    <t>∆ corrected</t>
  </si>
  <si>
    <t>adjusted</t>
  </si>
  <si>
    <t>∆ Adjusted</t>
  </si>
  <si>
    <t>Obs Date</t>
  </si>
  <si>
    <t>Comparison of staff 26296 &amp; 79918</t>
  </si>
  <si>
    <t>∆ Oct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</si>
</sst>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"/>
    <numFmt numFmtId="166" formatCode="0.00000"/>
    <numFmt numFmtId="167" formatCode="d/m/yyyy;@"/>
    <numFmt numFmtId="168" formatCode="d/mm/yyyy;@"/>
    <numFmt numFmtId="169" formatCode="mmm"/>
    <numFmt numFmtId="170" formatCode="##\°\C"/>
    <numFmt numFmtId="171" formatCode="###\°\C"/>
    <numFmt numFmtId="172" formatCode="mmm\-yyyy"/>
    <numFmt numFmtId="173" formatCode="0.0000000"/>
    <numFmt numFmtId="174" formatCode="[$-C09]dd\-mmm\-yy;@"/>
    <numFmt numFmtId="175" formatCode="0.0000"/>
  </numFmts>
  <fonts count="19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9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9.6"/>
      <color theme="1"/>
      <name val="Arial"/>
      <family val="2"/>
    </font>
    <font>
      <b/>
      <sz val="12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sz val="13"/>
      <color rgb="FF0C0C0D"/>
      <name val="Fira Sans"/>
      <family val="2"/>
    </font>
    <font>
      <sz val="11"/>
      <color rgb="FF0C0C0D"/>
      <name val="Fira Sans"/>
      <family val="2"/>
    </font>
    <font>
      <sz val="13"/>
      <color rgb="FFFFFFFF"/>
      <name val="Fira Sans"/>
      <family val="2"/>
    </font>
    <font>
      <sz val="13"/>
      <color rgb="FFFFFFFF"/>
      <name val="Fira Sans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F9FA"/>
        <bgColor indexed="64"/>
      </patternFill>
    </fill>
    <fill>
      <patternFill patternType="solid">
        <fgColor rgb="FF6BBD6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99"/>
      </left>
      <right style="medium">
        <color rgb="FFCCCC99"/>
      </right>
      <top style="medium">
        <color rgb="FFCCCC99"/>
      </top>
      <bottom style="medium">
        <color rgb="FFCCCC99"/>
      </bottom>
      <diagonal/>
    </border>
    <border>
      <left style="medium">
        <color rgb="FFCCCC99"/>
      </left>
      <right style="medium">
        <color rgb="FFCCCC9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E0E0E1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BBBBBB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E0E0E1"/>
      </bottom>
      <diagonal/>
    </border>
    <border>
      <left style="medium">
        <color rgb="FFFF0000"/>
      </left>
      <right style="medium">
        <color rgb="FFFF0000"/>
      </right>
      <top style="medium">
        <color rgb="FF00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166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/>
    <xf numFmtId="166" fontId="1" fillId="0" borderId="1" xfId="0" applyNumberFormat="1" applyFont="1" applyBorder="1" applyAlignment="1">
      <alignment horizontal="center"/>
    </xf>
    <xf numFmtId="49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17" fontId="0" fillId="0" borderId="0" xfId="0" applyNumberFormat="1"/>
    <xf numFmtId="166" fontId="1" fillId="0" borderId="1" xfId="0" applyNumberFormat="1" applyFont="1" applyBorder="1"/>
    <xf numFmtId="14" fontId="0" fillId="0" borderId="0" xfId="0" applyNumberFormat="1"/>
    <xf numFmtId="166" fontId="1" fillId="0" borderId="0" xfId="0" applyNumberFormat="1" applyFont="1"/>
    <xf numFmtId="1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166" fontId="0" fillId="2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2" borderId="0" xfId="0" applyNumberFormat="1" applyFill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164" fontId="0" fillId="0" borderId="1" xfId="0" applyNumberFormat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49" fontId="4" fillId="0" borderId="0" xfId="0" applyNumberFormat="1" applyFont="1"/>
    <xf numFmtId="169" fontId="0" fillId="0" borderId="0" xfId="0" applyNumberFormat="1"/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166" fontId="0" fillId="0" borderId="1" xfId="0" applyNumberFormat="1" applyBorder="1"/>
    <xf numFmtId="169" fontId="3" fillId="0" borderId="0" xfId="0" applyNumberFormat="1" applyFont="1" applyAlignment="1">
      <alignment horizontal="righ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2" fontId="3" fillId="0" borderId="0" xfId="0" applyNumberFormat="1" applyFont="1"/>
    <xf numFmtId="170" fontId="0" fillId="0" borderId="4" xfId="0" applyNumberFormat="1" applyBorder="1"/>
    <xf numFmtId="169" fontId="3" fillId="0" borderId="5" xfId="0" applyNumberFormat="1" applyFont="1" applyBorder="1" applyAlignment="1">
      <alignment horizontal="right"/>
    </xf>
    <xf numFmtId="0" fontId="0" fillId="0" borderId="5" xfId="0" applyBorder="1"/>
    <xf numFmtId="166" fontId="0" fillId="0" borderId="5" xfId="0" applyNumberFormat="1" applyBorder="1"/>
    <xf numFmtId="170" fontId="0" fillId="0" borderId="5" xfId="0" applyNumberFormat="1" applyBorder="1"/>
    <xf numFmtId="170" fontId="0" fillId="0" borderId="6" xfId="0" applyNumberFormat="1" applyBorder="1"/>
    <xf numFmtId="170" fontId="0" fillId="0" borderId="7" xfId="0" applyNumberFormat="1" applyBorder="1"/>
    <xf numFmtId="169" fontId="3" fillId="0" borderId="0" xfId="0" applyNumberFormat="1" applyFont="1" applyBorder="1" applyAlignment="1">
      <alignment horizontal="right"/>
    </xf>
    <xf numFmtId="0" fontId="0" fillId="0" borderId="0" xfId="0" applyBorder="1"/>
    <xf numFmtId="166" fontId="0" fillId="0" borderId="0" xfId="0" applyNumberFormat="1" applyBorder="1"/>
    <xf numFmtId="170" fontId="0" fillId="0" borderId="0" xfId="0" applyNumberFormat="1" applyBorder="1"/>
    <xf numFmtId="170" fontId="0" fillId="0" borderId="8" xfId="0" applyNumberFormat="1" applyBorder="1"/>
    <xf numFmtId="169" fontId="3" fillId="0" borderId="0" xfId="0" applyNumberFormat="1" applyFont="1" applyBorder="1"/>
    <xf numFmtId="166" fontId="3" fillId="0" borderId="0" xfId="0" applyNumberFormat="1" applyFont="1" applyBorder="1" applyAlignment="1">
      <alignment horizontal="right"/>
    </xf>
    <xf numFmtId="168" fontId="0" fillId="0" borderId="0" xfId="0" applyNumberFormat="1" applyBorder="1"/>
    <xf numFmtId="171" fontId="0" fillId="0" borderId="8" xfId="0" applyNumberFormat="1" applyBorder="1"/>
    <xf numFmtId="171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72" fontId="3" fillId="0" borderId="4" xfId="0" applyNumberFormat="1" applyFont="1" applyBorder="1"/>
    <xf numFmtId="173" fontId="0" fillId="0" borderId="6" xfId="0" applyNumberFormat="1" applyBorder="1"/>
    <xf numFmtId="172" fontId="3" fillId="0" borderId="7" xfId="0" applyNumberFormat="1" applyFont="1" applyBorder="1"/>
    <xf numFmtId="173" fontId="0" fillId="0" borderId="8" xfId="0" applyNumberFormat="1" applyBorder="1"/>
    <xf numFmtId="0" fontId="0" fillId="0" borderId="4" xfId="0" applyBorder="1"/>
    <xf numFmtId="0" fontId="0" fillId="0" borderId="6" xfId="0" applyBorder="1"/>
    <xf numFmtId="166" fontId="0" fillId="0" borderId="8" xfId="0" applyNumberFormat="1" applyBorder="1"/>
    <xf numFmtId="0" fontId="0" fillId="0" borderId="8" xfId="0" applyBorder="1"/>
    <xf numFmtId="172" fontId="3" fillId="0" borderId="5" xfId="0" applyNumberFormat="1" applyFont="1" applyBorder="1" applyAlignment="1">
      <alignment horizontal="right"/>
    </xf>
    <xf numFmtId="172" fontId="3" fillId="0" borderId="0" xfId="0" applyNumberFormat="1" applyFont="1" applyBorder="1" applyAlignment="1">
      <alignment horizontal="right"/>
    </xf>
    <xf numFmtId="0" fontId="7" fillId="0" borderId="9" xfId="0" applyFont="1" applyBorder="1"/>
    <xf numFmtId="166" fontId="7" fillId="0" borderId="10" xfId="0" applyNumberFormat="1" applyFont="1" applyBorder="1"/>
    <xf numFmtId="166" fontId="7" fillId="0" borderId="11" xfId="0" applyNumberFormat="1" applyFont="1" applyBorder="1"/>
    <xf numFmtId="0" fontId="7" fillId="0" borderId="10" xfId="0" applyFont="1" applyBorder="1"/>
    <xf numFmtId="169" fontId="8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/>
    <xf numFmtId="0" fontId="1" fillId="0" borderId="4" xfId="0" applyFont="1" applyBorder="1"/>
    <xf numFmtId="173" fontId="0" fillId="0" borderId="0" xfId="0" applyNumberFormat="1" applyBorder="1"/>
    <xf numFmtId="168" fontId="3" fillId="0" borderId="4" xfId="0" applyNumberFormat="1" applyFont="1" applyBorder="1"/>
    <xf numFmtId="168" fontId="3" fillId="0" borderId="7" xfId="0" applyNumberFormat="1" applyFont="1" applyBorder="1"/>
    <xf numFmtId="174" fontId="0" fillId="0" borderId="5" xfId="0" applyNumberFormat="1" applyBorder="1"/>
    <xf numFmtId="174" fontId="0" fillId="0" borderId="0" xfId="0" applyNumberFormat="1" applyBorder="1"/>
    <xf numFmtId="171" fontId="0" fillId="0" borderId="0" xfId="0" applyNumberFormat="1" applyBorder="1"/>
    <xf numFmtId="169" fontId="7" fillId="0" borderId="0" xfId="0" applyNumberFormat="1" applyFont="1" applyFill="1" applyBorder="1" applyAlignment="1">
      <alignment horizontal="right"/>
    </xf>
    <xf numFmtId="170" fontId="7" fillId="0" borderId="0" xfId="0" applyNumberFormat="1" applyFont="1" applyBorder="1"/>
    <xf numFmtId="169" fontId="3" fillId="0" borderId="4" xfId="0" applyNumberFormat="1" applyFont="1" applyBorder="1" applyAlignment="1">
      <alignment horizontal="right"/>
    </xf>
    <xf numFmtId="169" fontId="3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right"/>
    </xf>
    <xf numFmtId="169" fontId="7" fillId="0" borderId="9" xfId="0" applyNumberFormat="1" applyFont="1" applyFill="1" applyBorder="1" applyAlignment="1">
      <alignment horizontal="right"/>
    </xf>
    <xf numFmtId="170" fontId="7" fillId="0" borderId="10" xfId="0" applyNumberFormat="1" applyFont="1" applyBorder="1"/>
    <xf numFmtId="165" fontId="0" fillId="0" borderId="5" xfId="0" applyNumberFormat="1" applyBorder="1"/>
    <xf numFmtId="165" fontId="0" fillId="0" borderId="0" xfId="0" applyNumberFormat="1" applyBorder="1"/>
    <xf numFmtId="17" fontId="0" fillId="0" borderId="0" xfId="0" applyNumberFormat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Border="1"/>
    <xf numFmtId="17" fontId="3" fillId="0" borderId="5" xfId="0" applyNumberFormat="1" applyFont="1" applyBorder="1" applyAlignment="1">
      <alignment horizontal="right"/>
    </xf>
    <xf numFmtId="17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1" fillId="4" borderId="13" xfId="0" applyNumberFormat="1" applyFont="1" applyFill="1" applyBorder="1" applyAlignment="1">
      <alignment horizontal="center" vertical="center"/>
    </xf>
    <xf numFmtId="14" fontId="1" fillId="4" borderId="14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1" fillId="2" borderId="20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16" fontId="0" fillId="0" borderId="0" xfId="0" applyNumberFormat="1"/>
    <xf numFmtId="175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17" fontId="3" fillId="0" borderId="0" xfId="0" applyNumberFormat="1" applyFont="1" applyAlignment="1">
      <alignment horizontal="right"/>
    </xf>
    <xf numFmtId="17" fontId="3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16" fontId="16" fillId="5" borderId="23" xfId="0" applyNumberFormat="1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 vertical="center" wrapText="1"/>
    </xf>
    <xf numFmtId="0" fontId="16" fillId="5" borderId="27" xfId="0" applyFont="1" applyFill="1" applyBorder="1" applyAlignment="1">
      <alignment horizontal="center" vertical="center" wrapText="1"/>
    </xf>
    <xf numFmtId="0" fontId="16" fillId="5" borderId="0" xfId="0" applyFont="1" applyFill="1" applyBorder="1" applyAlignment="1">
      <alignment horizontal="center" vertical="center" wrapText="1"/>
    </xf>
    <xf numFmtId="0" fontId="9" fillId="0" borderId="0" xfId="0" applyFont="1"/>
    <xf numFmtId="16" fontId="9" fillId="0" borderId="0" xfId="0" applyNumberFormat="1" applyFont="1"/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8" borderId="0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15" fillId="6" borderId="26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7" fillId="7" borderId="28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8" fillId="7" borderId="24" xfId="0" applyFont="1" applyFill="1" applyBorder="1" applyAlignment="1">
      <alignment horizontal="center" vertical="center" wrapText="1"/>
    </xf>
    <xf numFmtId="0" fontId="18" fillId="7" borderId="25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8" fillId="7" borderId="28" xfId="0" applyFont="1" applyFill="1" applyBorder="1" applyAlignment="1">
      <alignment horizontal="center" vertical="center" wrapText="1"/>
    </xf>
    <xf numFmtId="0" fontId="18" fillId="7" borderId="29" xfId="0" applyFont="1" applyFill="1" applyBorder="1" applyAlignment="1">
      <alignment horizontal="center" vertical="center" wrapText="1"/>
    </xf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</a:t>
            </a:r>
            <a:r>
              <a:rPr lang="en-AU" baseline="0"/>
              <a:t> Staff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709477768493786E-2"/>
          <c:y val="5.618218926733843E-2"/>
          <c:w val="0.95941162346865549"/>
          <c:h val="0.90054937148794423"/>
        </c:manualLayout>
      </c:layout>
      <c:lineChart>
        <c:grouping val="standard"/>
        <c:varyColors val="0"/>
        <c:ser>
          <c:idx val="10"/>
          <c:order val="0"/>
          <c:tx>
            <c:strRef>
              <c:f>Merge8!$W$2</c:f>
              <c:strCache>
                <c:ptCount val="1"/>
                <c:pt idx="0">
                  <c:v>Diff T30-M8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Merge8!$W$4:$W$23</c:f>
              <c:numCache>
                <c:formatCode>0.00000</c:formatCode>
                <c:ptCount val="20"/>
                <c:pt idx="0">
                  <c:v>8.0000000000010618E-5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1.6000000000004899E-4</c:v>
                </c:pt>
                <c:pt idx="4">
                  <c:v>1.4000000000002899E-4</c:v>
                </c:pt>
                <c:pt idx="5">
                  <c:v>1.9000000000013451E-4</c:v>
                </c:pt>
                <c:pt idx="6">
                  <c:v>2.20000000000109E-4</c:v>
                </c:pt>
                <c:pt idx="7">
                  <c:v>2.60000000000149E-4</c:v>
                </c:pt>
                <c:pt idx="8">
                  <c:v>3.00000000000189E-4</c:v>
                </c:pt>
                <c:pt idx="9">
                  <c:v>2.8000000000050207E-4</c:v>
                </c:pt>
                <c:pt idx="10">
                  <c:v>3.5000000000051656E-4</c:v>
                </c:pt>
                <c:pt idx="11">
                  <c:v>3.5000000000051656E-4</c:v>
                </c:pt>
                <c:pt idx="12">
                  <c:v>7.1000000000065455E-4</c:v>
                </c:pt>
                <c:pt idx="13">
                  <c:v>4.1000000000090964E-4</c:v>
                </c:pt>
                <c:pt idx="14">
                  <c:v>4.2000000000053106E-4</c:v>
                </c:pt>
                <c:pt idx="15">
                  <c:v>4.500000000007276E-4</c:v>
                </c:pt>
                <c:pt idx="16">
                  <c:v>1.4900000000008795E-3</c:v>
                </c:pt>
                <c:pt idx="17">
                  <c:v>5.6000000000100414E-4</c:v>
                </c:pt>
                <c:pt idx="18">
                  <c:v>5.5000000000093863E-4</c:v>
                </c:pt>
                <c:pt idx="19">
                  <c:v>5.7000000000062556E-4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5-4F5E-9937-8E1AA2FC209B}"/>
            </c:ext>
          </c:extLst>
        </c:ser>
        <c:ser>
          <c:idx val="9"/>
          <c:order val="1"/>
          <c:tx>
            <c:strRef>
              <c:f>Merge8!$V$2</c:f>
              <c:strCache>
                <c:ptCount val="1"/>
                <c:pt idx="0">
                  <c:v>Diff T29-T28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Merge8!$V$4:$V$23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1.9999999999964491E-5</c:v>
                </c:pt>
                <c:pt idx="2">
                  <c:v>7.9999999999968985E-5</c:v>
                </c:pt>
                <c:pt idx="3">
                  <c:v>9.9999999999988987E-5</c:v>
                </c:pt>
                <c:pt idx="4">
                  <c:v>0</c:v>
                </c:pt>
                <c:pt idx="5">
                  <c:v>4.0000000000040004E-5</c:v>
                </c:pt>
                <c:pt idx="6">
                  <c:v>-2.9999999999974492E-5</c:v>
                </c:pt>
                <c:pt idx="7">
                  <c:v>2.9999999999974492E-5</c:v>
                </c:pt>
                <c:pt idx="8">
                  <c:v>1.2000000000012001E-4</c:v>
                </c:pt>
                <c:pt idx="9">
                  <c:v>5.9999999999948983E-5</c:v>
                </c:pt>
                <c:pt idx="10">
                  <c:v>5.9999999999948983E-5</c:v>
                </c:pt>
                <c:pt idx="11">
                  <c:v>6.9999999999570406E-5</c:v>
                </c:pt>
                <c:pt idx="12">
                  <c:v>6.9999999999570406E-5</c:v>
                </c:pt>
                <c:pt idx="13">
                  <c:v>9.9999999999322853E-5</c:v>
                </c:pt>
                <c:pt idx="14">
                  <c:v>1.9999999999242846E-5</c:v>
                </c:pt>
                <c:pt idx="15">
                  <c:v>1.1999999999900979E-4</c:v>
                </c:pt>
                <c:pt idx="16">
                  <c:v>6.9999999998682227E-5</c:v>
                </c:pt>
                <c:pt idx="17">
                  <c:v>8.9999999998813252E-5</c:v>
                </c:pt>
                <c:pt idx="18">
                  <c:v>8.9999999998813252E-5</c:v>
                </c:pt>
                <c:pt idx="19">
                  <c:v>5.9999999998616715E-5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5-4F5E-9937-8E1AA2FC209B}"/>
            </c:ext>
          </c:extLst>
        </c:ser>
        <c:ser>
          <c:idx val="0"/>
          <c:order val="2"/>
          <c:tx>
            <c:strRef>
              <c:f>Merge8!$Y$2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Merge8!$Y$4:$Y$23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3.0000000000030003E-5</c:v>
                </c:pt>
                <c:pt idx="2">
                  <c:v>2.3000000000006349E-4</c:v>
                </c:pt>
                <c:pt idx="3">
                  <c:v>0</c:v>
                </c:pt>
                <c:pt idx="4">
                  <c:v>7.0000000000125517E-5</c:v>
                </c:pt>
                <c:pt idx="5">
                  <c:v>1.1000000000016552E-4</c:v>
                </c:pt>
                <c:pt idx="6">
                  <c:v>2.0000000000020002E-4</c:v>
                </c:pt>
                <c:pt idx="7">
                  <c:v>1.7000000000022553E-4</c:v>
                </c:pt>
                <c:pt idx="8">
                  <c:v>1.500000000000945E-4</c:v>
                </c:pt>
                <c:pt idx="9">
                  <c:v>1.9000000000035655E-4</c:v>
                </c:pt>
                <c:pt idx="10">
                  <c:v>2.6000000000037105E-4</c:v>
                </c:pt>
                <c:pt idx="11">
                  <c:v>2.7000000000043656E-4</c:v>
                </c:pt>
                <c:pt idx="12">
                  <c:v>6.2000000000050903E-4</c:v>
                </c:pt>
                <c:pt idx="13">
                  <c:v>2.9000000000056758E-4</c:v>
                </c:pt>
                <c:pt idx="14">
                  <c:v>4.0000000000040004E-4</c:v>
                </c:pt>
                <c:pt idx="15">
                  <c:v>3.5000000000051656E-4</c:v>
                </c:pt>
                <c:pt idx="16">
                  <c:v>1.4100000000007995E-3</c:v>
                </c:pt>
                <c:pt idx="17">
                  <c:v>5.1000000000067658E-4</c:v>
                </c:pt>
                <c:pt idx="18">
                  <c:v>5.1000000000067658E-4</c:v>
                </c:pt>
                <c:pt idx="19">
                  <c:v>5.8000000000069107E-4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A-4F1D-95DC-3E28F1DE1DD4}"/>
            </c:ext>
          </c:extLst>
        </c:ser>
        <c:ser>
          <c:idx val="8"/>
          <c:order val="3"/>
          <c:tx>
            <c:strRef>
              <c:f>Merge8!$X$2</c:f>
              <c:strCache>
                <c:ptCount val="1"/>
                <c:pt idx="0">
                  <c:v>Diff T29-M8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Merge8!$X$4:$X$23</c:f>
              <c:numCache>
                <c:formatCode>0.00000</c:formatCode>
                <c:ptCount val="20"/>
                <c:pt idx="0">
                  <c:v>2.0000000000006124E-5</c:v>
                </c:pt>
                <c:pt idx="1">
                  <c:v>4.9999999999994493E-5</c:v>
                </c:pt>
                <c:pt idx="2">
                  <c:v>3.1000000000003247E-4</c:v>
                </c:pt>
                <c:pt idx="3">
                  <c:v>1.0000000000010001E-4</c:v>
                </c:pt>
                <c:pt idx="4">
                  <c:v>7.0000000000125517E-5</c:v>
                </c:pt>
                <c:pt idx="5">
                  <c:v>1.5000000000020552E-4</c:v>
                </c:pt>
                <c:pt idx="6">
                  <c:v>1.7000000000022553E-4</c:v>
                </c:pt>
                <c:pt idx="7">
                  <c:v>2.0000000000020002E-4</c:v>
                </c:pt>
                <c:pt idx="8">
                  <c:v>2.7000000000021451E-4</c:v>
                </c:pt>
                <c:pt idx="9">
                  <c:v>2.5000000000030553E-4</c:v>
                </c:pt>
                <c:pt idx="10">
                  <c:v>3.2000000000032003E-4</c:v>
                </c:pt>
                <c:pt idx="11">
                  <c:v>3.4000000000000696E-4</c:v>
                </c:pt>
                <c:pt idx="12">
                  <c:v>6.9000000000007944E-4</c:v>
                </c:pt>
                <c:pt idx="13">
                  <c:v>3.8999999999989043E-4</c:v>
                </c:pt>
                <c:pt idx="14">
                  <c:v>4.1999999999964288E-4</c:v>
                </c:pt>
                <c:pt idx="15">
                  <c:v>4.6999999999952635E-4</c:v>
                </c:pt>
                <c:pt idx="16">
                  <c:v>1.4799999999994817E-3</c:v>
                </c:pt>
                <c:pt idx="17">
                  <c:v>5.9999999999948983E-4</c:v>
                </c:pt>
                <c:pt idx="18">
                  <c:v>5.9999999999948983E-4</c:v>
                </c:pt>
                <c:pt idx="19">
                  <c:v>6.3999999999930779E-4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5-4F5E-9937-8E1AA2FC209B}"/>
            </c:ext>
          </c:extLst>
        </c:ser>
        <c:ser>
          <c:idx val="1"/>
          <c:order val="4"/>
          <c:tx>
            <c:strRef>
              <c:f>Merge8!$Z$2</c:f>
              <c:strCache>
                <c:ptCount val="1"/>
                <c:pt idx="0">
                  <c:v>Diff 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Merge8!$Z$4:$Z$23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-4.9999999999994493E-5</c:v>
                </c:pt>
                <c:pt idx="2">
                  <c:v>2.3000000000006349E-4</c:v>
                </c:pt>
                <c:pt idx="3">
                  <c:v>-4.9999999999883471E-5</c:v>
                </c:pt>
                <c:pt idx="4">
                  <c:v>-4.9999999999883471E-5</c:v>
                </c:pt>
                <c:pt idx="5">
                  <c:v>-3.9999999999928981E-5</c:v>
                </c:pt>
                <c:pt idx="6">
                  <c:v>5.0000000000105516E-5</c:v>
                </c:pt>
                <c:pt idx="7">
                  <c:v>-3.9999999999817959E-5</c:v>
                </c:pt>
                <c:pt idx="8">
                  <c:v>-1.1999999999989797E-4</c:v>
                </c:pt>
                <c:pt idx="9">
                  <c:v>-4.9999999999883471E-5</c:v>
                </c:pt>
                <c:pt idx="10">
                  <c:v>-2.0000000000131024E-5</c:v>
                </c:pt>
                <c:pt idx="11">
                  <c:v>1.7999999999984695E-4</c:v>
                </c:pt>
                <c:pt idx="12">
                  <c:v>3.1999999999987594E-4</c:v>
                </c:pt>
                <c:pt idx="13">
                  <c:v>-1.500000000000945E-4</c:v>
                </c:pt>
                <c:pt idx="14">
                  <c:v>4.9999999999883471E-5</c:v>
                </c:pt>
                <c:pt idx="15">
                  <c:v>-1.0000000000021103E-4</c:v>
                </c:pt>
                <c:pt idx="16">
                  <c:v>8.799999999999919E-4</c:v>
                </c:pt>
                <c:pt idx="17">
                  <c:v>-4.9999999999883471E-5</c:v>
                </c:pt>
                <c:pt idx="18">
                  <c:v>-4.9999999999883471E-5</c:v>
                </c:pt>
                <c:pt idx="19">
                  <c:v>-2.9999999999752447E-5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A-4F1D-95DC-3E28F1DE1DD4}"/>
            </c:ext>
          </c:extLst>
        </c:ser>
        <c:ser>
          <c:idx val="2"/>
          <c:order val="5"/>
          <c:tx>
            <c:strRef>
              <c:f>Merge8!$AG$2</c:f>
              <c:strCache>
                <c:ptCount val="1"/>
                <c:pt idx="0">
                  <c:v>Diff 7-8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Merge8!$AG$4:$AG$23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0</c:v>
                </c:pt>
                <c:pt idx="3">
                  <c:v>4.9999999999994493E-5</c:v>
                </c:pt>
                <c:pt idx="4">
                  <c:v>1.2000000000000899E-4</c:v>
                </c:pt>
                <c:pt idx="5">
                  <c:v>1.500000000000945E-4</c:v>
                </c:pt>
                <c:pt idx="6">
                  <c:v>1.500000000000945E-4</c:v>
                </c:pt>
                <c:pt idx="7">
                  <c:v>2.1000000000004349E-4</c:v>
                </c:pt>
                <c:pt idx="8">
                  <c:v>2.6999999999999247E-4</c:v>
                </c:pt>
                <c:pt idx="9">
                  <c:v>2.4000000000024002E-4</c:v>
                </c:pt>
                <c:pt idx="10">
                  <c:v>2.8000000000050207E-4</c:v>
                </c:pt>
                <c:pt idx="11">
                  <c:v>9.0000000000589608E-5</c:v>
                </c:pt>
                <c:pt idx="12">
                  <c:v>3.0000000000063309E-4</c:v>
                </c:pt>
                <c:pt idx="13">
                  <c:v>4.4000000000066208E-4</c:v>
                </c:pt>
                <c:pt idx="14">
                  <c:v>3.5000000000051656E-4</c:v>
                </c:pt>
                <c:pt idx="15">
                  <c:v>4.500000000007276E-4</c:v>
                </c:pt>
                <c:pt idx="16">
                  <c:v>5.300000000008076E-4</c:v>
                </c:pt>
                <c:pt idx="17">
                  <c:v>5.6000000000056005E-4</c:v>
                </c:pt>
                <c:pt idx="18">
                  <c:v>5.6000000000056005E-4</c:v>
                </c:pt>
                <c:pt idx="19">
                  <c:v>6.1000000000044352E-4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C-4658-A773-BB901457AA51}"/>
            </c:ext>
          </c:extLst>
        </c:ser>
        <c:ser>
          <c:idx val="3"/>
          <c:order val="6"/>
          <c:tx>
            <c:strRef>
              <c:f>Merge8!$AK$2</c:f>
              <c:strCache>
                <c:ptCount val="1"/>
                <c:pt idx="0">
                  <c:v>Diff 6-8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Merge8!$AK$4:$AK$23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2.1999999999999797E-4</c:v>
                </c:pt>
                <c:pt idx="3">
                  <c:v>9.0000000000034497E-5</c:v>
                </c:pt>
                <c:pt idx="4">
                  <c:v>4.9999999999994493E-5</c:v>
                </c:pt>
                <c:pt idx="5">
                  <c:v>5.0000000000105516E-5</c:v>
                </c:pt>
                <c:pt idx="6">
                  <c:v>9.0000000000145519E-5</c:v>
                </c:pt>
                <c:pt idx="7">
                  <c:v>1.4000000000002899E-4</c:v>
                </c:pt>
                <c:pt idx="8">
                  <c:v>1.4000000000002899E-4</c:v>
                </c:pt>
                <c:pt idx="9">
                  <c:v>1.4000000000002899E-4</c:v>
                </c:pt>
                <c:pt idx="10">
                  <c:v>1.8000000000029104E-4</c:v>
                </c:pt>
                <c:pt idx="11">
                  <c:v>-7.9999999999635918E-5</c:v>
                </c:pt>
                <c:pt idx="12">
                  <c:v>9.0000000000145519E-5</c:v>
                </c:pt>
                <c:pt idx="13">
                  <c:v>1.1000000000027654E-4</c:v>
                </c:pt>
                <c:pt idx="14">
                  <c:v>1.0000000000021103E-4</c:v>
                </c:pt>
                <c:pt idx="15">
                  <c:v>6.0000000000393072E-5</c:v>
                </c:pt>
                <c:pt idx="16">
                  <c:v>5.000000000032756E-5</c:v>
                </c:pt>
                <c:pt idx="17">
                  <c:v>7.0000000000458584E-5</c:v>
                </c:pt>
                <c:pt idx="18">
                  <c:v>2.0000000000131024E-5</c:v>
                </c:pt>
                <c:pt idx="19">
                  <c:v>-3.0000000000196536E-5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F9C-4658-A773-BB901457AA51}"/>
            </c:ext>
          </c:extLst>
        </c:ser>
        <c:ser>
          <c:idx val="6"/>
          <c:order val="9"/>
          <c:tx>
            <c:strRef>
              <c:f>Merge8!$AJ$2</c:f>
              <c:strCache>
                <c:ptCount val="1"/>
                <c:pt idx="0">
                  <c:v>Diff 7-6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Merge8!$AJ$4:$AJ$23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-4.0000000000040004E-5</c:v>
                </c:pt>
                <c:pt idx="4">
                  <c:v>7.0000000000014495E-5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7.0000000000014495E-5</c:v>
                </c:pt>
                <c:pt idx="8">
                  <c:v>1.2999999999996348E-4</c:v>
                </c:pt>
                <c:pt idx="9">
                  <c:v>1.0000000000021103E-4</c:v>
                </c:pt>
                <c:pt idx="10">
                  <c:v>1.0000000000021103E-4</c:v>
                </c:pt>
                <c:pt idx="11">
                  <c:v>1.7000000000022553E-4</c:v>
                </c:pt>
                <c:pt idx="12">
                  <c:v>2.1000000000048757E-4</c:v>
                </c:pt>
                <c:pt idx="13">
                  <c:v>3.3000000000038554E-4</c:v>
                </c:pt>
                <c:pt idx="14">
                  <c:v>2.5000000000030553E-4</c:v>
                </c:pt>
                <c:pt idx="15">
                  <c:v>3.9000000000033452E-4</c:v>
                </c:pt>
                <c:pt idx="16">
                  <c:v>4.8000000000048004E-4</c:v>
                </c:pt>
                <c:pt idx="17">
                  <c:v>4.9000000000010147E-4</c:v>
                </c:pt>
                <c:pt idx="18">
                  <c:v>5.4000000000042903E-4</c:v>
                </c:pt>
                <c:pt idx="19">
                  <c:v>6.4000000000064006E-4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2D0-4228-B76D-1CCDF8C1EF60}"/>
            </c:ext>
          </c:extLst>
        </c:ser>
        <c:ser>
          <c:idx val="11"/>
          <c:order val="11"/>
          <c:tx>
            <c:strRef>
              <c:f>Merge8!$U$2</c:f>
              <c:strCache>
                <c:ptCount val="1"/>
                <c:pt idx="0">
                  <c:v>Diff T31-M8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Merge8!$U$4:$U$23</c:f>
              <c:numCache>
                <c:formatCode>0.00000</c:formatCode>
                <c:ptCount val="20"/>
                <c:pt idx="0">
                  <c:v>-1.9999999999992246E-5</c:v>
                </c:pt>
                <c:pt idx="1">
                  <c:v>3.9999999999984492E-5</c:v>
                </c:pt>
                <c:pt idx="2">
                  <c:v>2.6999999999999247E-4</c:v>
                </c:pt>
                <c:pt idx="3">
                  <c:v>4.0000000000040004E-5</c:v>
                </c:pt>
                <c:pt idx="4">
                  <c:v>3.0000000000085514E-5</c:v>
                </c:pt>
                <c:pt idx="5">
                  <c:v>5.0000000000105516E-5</c:v>
                </c:pt>
                <c:pt idx="6">
                  <c:v>1.500000000000945E-4</c:v>
                </c:pt>
                <c:pt idx="7">
                  <c:v>1.4000000000002899E-4</c:v>
                </c:pt>
                <c:pt idx="8">
                  <c:v>2.1000000000004349E-4</c:v>
                </c:pt>
                <c:pt idx="9">
                  <c:v>1.6000000000016001E-4</c:v>
                </c:pt>
                <c:pt idx="10">
                  <c:v>2.3000000000017451E-4</c:v>
                </c:pt>
                <c:pt idx="11">
                  <c:v>2.4000000000024002E-4</c:v>
                </c:pt>
                <c:pt idx="12">
                  <c:v>6.0000000000037801E-4</c:v>
                </c:pt>
                <c:pt idx="13">
                  <c:v>2.7000000000043656E-4</c:v>
                </c:pt>
                <c:pt idx="14">
                  <c:v>2.8000000000005798E-4</c:v>
                </c:pt>
                <c:pt idx="15">
                  <c:v>3.1000000000025452E-4</c:v>
                </c:pt>
                <c:pt idx="16">
                  <c:v>1.3300000000002754E-3</c:v>
                </c:pt>
                <c:pt idx="17">
                  <c:v>3.3000000000038554E-4</c:v>
                </c:pt>
                <c:pt idx="18">
                  <c:v>3.8000000000026901E-4</c:v>
                </c:pt>
                <c:pt idx="19">
                  <c:v>4.3000000000015248E-4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005-A334-CF2E66D0CAE0}"/>
            </c:ext>
          </c:extLst>
        </c:ser>
        <c:ser>
          <c:idx val="12"/>
          <c:order val="12"/>
          <c:tx>
            <c:strRef>
              <c:f>Merge8!$T$2</c:f>
              <c:strCache>
                <c:ptCount val="1"/>
                <c:pt idx="0">
                  <c:v>Diff T31-T30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Merge8!$T$4:$T$23</c:f>
              <c:numCache>
                <c:formatCode>0.00000</c:formatCode>
                <c:ptCount val="20"/>
                <c:pt idx="0">
                  <c:v>-1.0000000000000286E-4</c:v>
                </c:pt>
                <c:pt idx="1">
                  <c:v>-3.0000000000030003E-5</c:v>
                </c:pt>
                <c:pt idx="2">
                  <c:v>-7.0000000000014495E-5</c:v>
                </c:pt>
                <c:pt idx="3">
                  <c:v>-1.2000000000000899E-4</c:v>
                </c:pt>
                <c:pt idx="4">
                  <c:v>-1.0999999999994348E-4</c:v>
                </c:pt>
                <c:pt idx="5">
                  <c:v>-1.4000000000002899E-4</c:v>
                </c:pt>
                <c:pt idx="6">
                  <c:v>-7.0000000000014495E-5</c:v>
                </c:pt>
                <c:pt idx="7">
                  <c:v>-1.2000000000012001E-4</c:v>
                </c:pt>
                <c:pt idx="8">
                  <c:v>-9.0000000000145519E-5</c:v>
                </c:pt>
                <c:pt idx="9">
                  <c:v>-1.2000000000034206E-4</c:v>
                </c:pt>
                <c:pt idx="10">
                  <c:v>-1.2000000000034206E-4</c:v>
                </c:pt>
                <c:pt idx="11">
                  <c:v>-1.1000000000027654E-4</c:v>
                </c:pt>
                <c:pt idx="12">
                  <c:v>-1.1000000000027654E-4</c:v>
                </c:pt>
                <c:pt idx="13">
                  <c:v>-1.4000000000047308E-4</c:v>
                </c:pt>
                <c:pt idx="14">
                  <c:v>-1.4000000000047308E-4</c:v>
                </c:pt>
                <c:pt idx="15">
                  <c:v>-1.4000000000047308E-4</c:v>
                </c:pt>
                <c:pt idx="16">
                  <c:v>-1.600000000006041E-4</c:v>
                </c:pt>
                <c:pt idx="17">
                  <c:v>-2.300000000006186E-4</c:v>
                </c:pt>
                <c:pt idx="18">
                  <c:v>-1.7000000000066962E-4</c:v>
                </c:pt>
                <c:pt idx="19">
                  <c:v>-1.4000000000047308E-4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6-4005-A334-CF2E66D0C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636296"/>
        <c:axId val="458636624"/>
        <c:extLst>
          <c:ext xmlns:c15="http://schemas.microsoft.com/office/drawing/2012/chart" uri="{02D57815-91ED-43cb-92C2-25804820EDAC}">
            <c15:filteredLine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Merge8!$AN$2</c15:sqref>
                        </c15:formulaRef>
                      </c:ext>
                    </c:extLst>
                    <c:strCache>
                      <c:ptCount val="1"/>
                      <c:pt idx="0">
                        <c:v>Diff 5-8 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Merge8!$AN$4:$AN$23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5.0000000000008371E-5</c:v>
                      </c:pt>
                      <c:pt idx="1">
                        <c:v>3.9999999999984492E-5</c:v>
                      </c:pt>
                      <c:pt idx="2">
                        <c:v>2.5999999999998247E-4</c:v>
                      </c:pt>
                      <c:pt idx="3">
                        <c:v>1.4999999999998348E-4</c:v>
                      </c:pt>
                      <c:pt idx="4">
                        <c:v>6.0000000000060005E-5</c:v>
                      </c:pt>
                      <c:pt idx="5">
                        <c:v>8.0000000000080007E-5</c:v>
                      </c:pt>
                      <c:pt idx="6">
                        <c:v>1.5999999999993797E-4</c:v>
                      </c:pt>
                      <c:pt idx="7">
                        <c:v>1.7000000000000348E-4</c:v>
                      </c:pt>
                      <c:pt idx="8">
                        <c:v>2.1000000000004349E-4</c:v>
                      </c:pt>
                      <c:pt idx="9">
                        <c:v>2.6000000000037105E-4</c:v>
                      </c:pt>
                      <c:pt idx="10">
                        <c:v>2.8000000000050207E-4</c:v>
                      </c:pt>
                      <c:pt idx="11">
                        <c:v>5.000000000032756E-5</c:v>
                      </c:pt>
                      <c:pt idx="12">
                        <c:v>2.6000000000037105E-4</c:v>
                      </c:pt>
                      <c:pt idx="13">
                        <c:v>3.1000000000025452E-4</c:v>
                      </c:pt>
                      <c:pt idx="14">
                        <c:v>2.6999999999999247E-4</c:v>
                      </c:pt>
                      <c:pt idx="15">
                        <c:v>3.4000000000000696E-4</c:v>
                      </c:pt>
                      <c:pt idx="16">
                        <c:v>3.8999999999989043E-4</c:v>
                      </c:pt>
                      <c:pt idx="17">
                        <c:v>3.6999999999975941E-4</c:v>
                      </c:pt>
                      <c:pt idx="18">
                        <c:v>4.8999999999965738E-4</c:v>
                      </c:pt>
                      <c:pt idx="19">
                        <c:v>5.2999999999947534E-4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9C-4658-A773-BB901457AA51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Merge8!$AQ$2</c15:sqref>
                        </c15:formulaRef>
                      </c:ext>
                    </c:extLst>
                    <c:strCache>
                      <c:ptCount val="1"/>
                      <c:pt idx="0">
                        <c:v>Diff 4-8</c:v>
                      </c:pt>
                    </c:strCache>
                  </c:strRef>
                </c:tx>
                <c:spPr>
                  <a:ln w="28575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Merge8!$AQ$4:$AQ$23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9.0000000000006741E-5</c:v>
                      </c:pt>
                      <c:pt idx="1">
                        <c:v>1.000000000000445E-4</c:v>
                      </c:pt>
                      <c:pt idx="2">
                        <c:v>2.2000000000005349E-4</c:v>
                      </c:pt>
                      <c:pt idx="3">
                        <c:v>3.7000000000009248E-4</c:v>
                      </c:pt>
                      <c:pt idx="4">
                        <c:v>1.700000000001145E-4</c:v>
                      </c:pt>
                      <c:pt idx="5">
                        <c:v>2.4000000000024002E-4</c:v>
                      </c:pt>
                      <c:pt idx="6">
                        <c:v>3.1000000000025452E-4</c:v>
                      </c:pt>
                      <c:pt idx="7">
                        <c:v>3.1000000000025452E-4</c:v>
                      </c:pt>
                      <c:pt idx="8">
                        <c:v>3.2000000000032003E-4</c:v>
                      </c:pt>
                      <c:pt idx="9">
                        <c:v>3.4000000000045105E-4</c:v>
                      </c:pt>
                      <c:pt idx="10">
                        <c:v>4.0000000000084412E-4</c:v>
                      </c:pt>
                      <c:pt idx="11">
                        <c:v>6.0000000000837161E-5</c:v>
                      </c:pt>
                      <c:pt idx="12">
                        <c:v>3.4000000000089514E-4</c:v>
                      </c:pt>
                      <c:pt idx="13">
                        <c:v>3.3000000000082963E-4</c:v>
                      </c:pt>
                      <c:pt idx="14">
                        <c:v>4.4000000000066208E-4</c:v>
                      </c:pt>
                      <c:pt idx="15">
                        <c:v>5.2000000000074209E-4</c:v>
                      </c:pt>
                      <c:pt idx="16">
                        <c:v>5.9000000000075659E-4</c:v>
                      </c:pt>
                      <c:pt idx="17">
                        <c:v>6.7000000000083659E-4</c:v>
                      </c:pt>
                      <c:pt idx="18">
                        <c:v>6.8000000000090211E-4</c:v>
                      </c:pt>
                      <c:pt idx="19">
                        <c:v>7.2000000000072006E-4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9C-4658-A773-BB901457AA51}"/>
                  </c:ext>
                </c:extLst>
              </c15:ser>
            </c15:filteredLineSeries>
            <c15:filteredLine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Merge8!$AS$2</c15:sqref>
                        </c15:formulaRef>
                      </c:ext>
                    </c:extLst>
                    <c:strCache>
                      <c:ptCount val="1"/>
                      <c:pt idx="0">
                        <c:v>Diff 5-6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Merge8!$AS$4:$AS$23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-2.0000000000006124E-5</c:v>
                      </c:pt>
                      <c:pt idx="1">
                        <c:v>4.0000000000040004E-5</c:v>
                      </c:pt>
                      <c:pt idx="2">
                        <c:v>-3.9999999999984492E-5</c:v>
                      </c:pt>
                      <c:pt idx="3">
                        <c:v>-5.9999999999948983E-5</c:v>
                      </c:pt>
                      <c:pt idx="4">
                        <c:v>-1.0000000000065512E-5</c:v>
                      </c:pt>
                      <c:pt idx="5">
                        <c:v>-2.9999999999974492E-5</c:v>
                      </c:pt>
                      <c:pt idx="6">
                        <c:v>-6.999999999979245E-5</c:v>
                      </c:pt>
                      <c:pt idx="7">
                        <c:v>-2.9999999999974492E-5</c:v>
                      </c:pt>
                      <c:pt idx="8">
                        <c:v>-7.0000000000014495E-5</c:v>
                      </c:pt>
                      <c:pt idx="9">
                        <c:v>-1.2000000000034206E-4</c:v>
                      </c:pt>
                      <c:pt idx="10">
                        <c:v>-1.0000000000021103E-4</c:v>
                      </c:pt>
                      <c:pt idx="11">
                        <c:v>-1.2999999999996348E-4</c:v>
                      </c:pt>
                      <c:pt idx="12">
                        <c:v>-1.7000000000022553E-4</c:v>
                      </c:pt>
                      <c:pt idx="13">
                        <c:v>-1.9999999999997797E-4</c:v>
                      </c:pt>
                      <c:pt idx="14">
                        <c:v>-1.6999999999978144E-4</c:v>
                      </c:pt>
                      <c:pt idx="15">
                        <c:v>-2.7999999999961389E-4</c:v>
                      </c:pt>
                      <c:pt idx="16">
                        <c:v>-3.3999999999956287E-4</c:v>
                      </c:pt>
                      <c:pt idx="17">
                        <c:v>-2.9999999999930083E-4</c:v>
                      </c:pt>
                      <c:pt idx="18">
                        <c:v>-4.6999999999952635E-4</c:v>
                      </c:pt>
                      <c:pt idx="19">
                        <c:v>-5.5999999999967187E-4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D0-4228-B76D-1CCDF8C1EF60}"/>
                  </c:ext>
                </c:extLst>
              </c15:ser>
            </c15:filteredLineSeries>
          </c:ext>
        </c:extLst>
      </c:lineChart>
      <c:catAx>
        <c:axId val="458636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624"/>
        <c:crosses val="autoZero"/>
        <c:auto val="1"/>
        <c:lblAlgn val="ctr"/>
        <c:lblOffset val="100"/>
        <c:noMultiLvlLbl val="0"/>
      </c:catAx>
      <c:valAx>
        <c:axId val="458636624"/>
        <c:scaling>
          <c:orientation val="minMax"/>
          <c:max val="1.5000000000000005E-3"/>
          <c:min val="-3.0000000000000008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13828001229579E-2"/>
          <c:y val="0.93931671251951721"/>
          <c:w val="0.52527158423837672"/>
          <c:h val="2.3648817150860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Height diff Pin 1 - 21.</a:t>
            </a:r>
            <a:r>
              <a:rPr lang="en-AU" baseline="0"/>
              <a:t> </a:t>
            </a:r>
            <a:r>
              <a:rPr lang="en-AU"/>
              <a:t>Comprison</a:t>
            </a:r>
            <a:r>
              <a:rPr lang="en-AU" baseline="0"/>
              <a:t> to merge 6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80057418789719E-2"/>
          <c:y val="0.12444214193193189"/>
          <c:w val="0.91628135795596177"/>
          <c:h val="0.838651318266200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Merge8!$AI$31:$AI$66</c:f>
              <c:strCache>
                <c:ptCount val="36"/>
                <c:pt idx="0">
                  <c:v>Test 55</c:v>
                </c:pt>
                <c:pt idx="1">
                  <c:v>Test 54</c:v>
                </c:pt>
                <c:pt idx="2">
                  <c:v>Test 53</c:v>
                </c:pt>
                <c:pt idx="3">
                  <c:v>Test 52</c:v>
                </c:pt>
                <c:pt idx="4">
                  <c:v>Test 51</c:v>
                </c:pt>
                <c:pt idx="5">
                  <c:v>Test 50</c:v>
                </c:pt>
                <c:pt idx="6">
                  <c:v>Test 49</c:v>
                </c:pt>
                <c:pt idx="7">
                  <c:v>Test 48</c:v>
                </c:pt>
                <c:pt idx="8">
                  <c:v>Test 47</c:v>
                </c:pt>
                <c:pt idx="9">
                  <c:v>Test 46</c:v>
                </c:pt>
                <c:pt idx="10">
                  <c:v>Test 45</c:v>
                </c:pt>
                <c:pt idx="11">
                  <c:v>Test 44</c:v>
                </c:pt>
                <c:pt idx="12">
                  <c:v>Test 43</c:v>
                </c:pt>
                <c:pt idx="13">
                  <c:v>Test 42</c:v>
                </c:pt>
                <c:pt idx="14">
                  <c:v>Test 41</c:v>
                </c:pt>
                <c:pt idx="15">
                  <c:v>Test 40</c:v>
                </c:pt>
                <c:pt idx="16">
                  <c:v>Test 39</c:v>
                </c:pt>
                <c:pt idx="17">
                  <c:v>Test 38</c:v>
                </c:pt>
                <c:pt idx="18">
                  <c:v>Test 37</c:v>
                </c:pt>
                <c:pt idx="19">
                  <c:v>Test 36</c:v>
                </c:pt>
                <c:pt idx="20">
                  <c:v>Test 35</c:v>
                </c:pt>
                <c:pt idx="21">
                  <c:v>Test 34</c:v>
                </c:pt>
                <c:pt idx="22">
                  <c:v>Test 33</c:v>
                </c:pt>
                <c:pt idx="23">
                  <c:v>Test 32</c:v>
                </c:pt>
                <c:pt idx="24">
                  <c:v>Test 31</c:v>
                </c:pt>
                <c:pt idx="25">
                  <c:v>Test 30</c:v>
                </c:pt>
                <c:pt idx="26">
                  <c:v>Test 29</c:v>
                </c:pt>
                <c:pt idx="27">
                  <c:v>Test 28</c:v>
                </c:pt>
                <c:pt idx="28">
                  <c:v>Merge 8</c:v>
                </c:pt>
                <c:pt idx="29">
                  <c:v>Merge 7</c:v>
                </c:pt>
                <c:pt idx="30">
                  <c:v>Merge 6</c:v>
                </c:pt>
                <c:pt idx="31">
                  <c:v>Merge 5</c:v>
                </c:pt>
                <c:pt idx="32">
                  <c:v>Merge 4</c:v>
                </c:pt>
                <c:pt idx="33">
                  <c:v>Merge 3</c:v>
                </c:pt>
                <c:pt idx="34">
                  <c:v>Merge 2</c:v>
                </c:pt>
                <c:pt idx="35">
                  <c:v>Merge 1</c:v>
                </c:pt>
              </c:strCache>
            </c:strRef>
          </c:cat>
          <c:val>
            <c:numRef>
              <c:f>Merge8!$AK$31:$AK$66</c:f>
              <c:numCache>
                <c:formatCode>0.00000</c:formatCode>
                <c:ptCount val="36"/>
                <c:pt idx="0">
                  <c:v>1.1999999999989797E-4</c:v>
                </c:pt>
                <c:pt idx="1">
                  <c:v>-1.4000000000002899E-4</c:v>
                </c:pt>
                <c:pt idx="2">
                  <c:v>2.9999999999752447E-5</c:v>
                </c:pt>
                <c:pt idx="3">
                  <c:v>-1.0000000000065512E-5</c:v>
                </c:pt>
                <c:pt idx="4">
                  <c:v>3.9999999999817959E-5</c:v>
                </c:pt>
                <c:pt idx="5">
                  <c:v>-3.0000000000196536E-5</c:v>
                </c:pt>
                <c:pt idx="6">
                  <c:v>2.1999999999966491E-4</c:v>
                </c:pt>
                <c:pt idx="7">
                  <c:v>5.8999999999986841E-4</c:v>
                </c:pt>
                <c:pt idx="8">
                  <c:v>6.3999999999975188E-4</c:v>
                </c:pt>
                <c:pt idx="9">
                  <c:v>6.9999999999970086E-4</c:v>
                </c:pt>
                <c:pt idx="10">
                  <c:v>6.1999999999962085E-4</c:v>
                </c:pt>
                <c:pt idx="11">
                  <c:v>3.4999999999962839E-4</c:v>
                </c:pt>
                <c:pt idx="12">
                  <c:v>2.1999999999966491E-4</c:v>
                </c:pt>
                <c:pt idx="13">
                  <c:v>-6.0000000000393072E-5</c:v>
                </c:pt>
                <c:pt idx="14">
                  <c:v>2.9999999999974492E-4</c:v>
                </c:pt>
                <c:pt idx="15">
                  <c:v>-1.0000000000065512E-5</c:v>
                </c:pt>
                <c:pt idx="16">
                  <c:v>7.5999999999964984E-4</c:v>
                </c:pt>
                <c:pt idx="17">
                  <c:v>8.6999999999992639E-4</c:v>
                </c:pt>
                <c:pt idx="18">
                  <c:v>7.0999999999976637E-4</c:v>
                </c:pt>
                <c:pt idx="19">
                  <c:v>7.1999999999983189E-4</c:v>
                </c:pt>
                <c:pt idx="20">
                  <c:v>2.4999999999986144E-4</c:v>
                </c:pt>
                <c:pt idx="21">
                  <c:v>2.9999999999752447E-5</c:v>
                </c:pt>
                <c:pt idx="22">
                  <c:v>4.9999999999883471E-5</c:v>
                </c:pt>
                <c:pt idx="23">
                  <c:v>4.1000000000002146E-4</c:v>
                </c:pt>
                <c:pt idx="24">
                  <c:v>6.2999999999968637E-4</c:v>
                </c:pt>
                <c:pt idx="25">
                  <c:v>7.6999999999971536E-4</c:v>
                </c:pt>
                <c:pt idx="26">
                  <c:v>8.3999999999972985E-4</c:v>
                </c:pt>
                <c:pt idx="27">
                  <c:v>7.7999999999978087E-4</c:v>
                </c:pt>
                <c:pt idx="28">
                  <c:v>1.6999999999978144E-4</c:v>
                </c:pt>
                <c:pt idx="29">
                  <c:v>8.099999999999774E-4</c:v>
                </c:pt>
                <c:pt idx="30">
                  <c:v>1.4999999999965041E-4</c:v>
                </c:pt>
                <c:pt idx="31">
                  <c:v>7.299999999998974E-4</c:v>
                </c:pt>
                <c:pt idx="32">
                  <c:v>9.1999999999980986E-4</c:v>
                </c:pt>
                <c:pt idx="33">
                  <c:v>0</c:v>
                </c:pt>
                <c:pt idx="34">
                  <c:v>2.9999999999752447E-5</c:v>
                </c:pt>
                <c:pt idx="35">
                  <c:v>9.2999999999987537E-4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7-4A22-A9F5-40EB2D14F7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1486112"/>
        <c:axId val="561486440"/>
      </c:lineChart>
      <c:catAx>
        <c:axId val="5614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440"/>
        <c:crosses val="autoZero"/>
        <c:auto val="1"/>
        <c:lblAlgn val="ctr"/>
        <c:lblOffset val="100"/>
        <c:noMultiLvlLbl val="0"/>
      </c:catAx>
      <c:valAx>
        <c:axId val="56148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Temp vs calibration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Merge8!$AF$50:$AF$59</c:f>
              <c:numCache>
                <c:formatCode>##\°\C</c:formatCode>
                <c:ptCount val="10"/>
                <c:pt idx="0">
                  <c:v>19.024999999999999</c:v>
                </c:pt>
                <c:pt idx="1">
                  <c:v>23</c:v>
                </c:pt>
                <c:pt idx="2">
                  <c:v>16.75</c:v>
                </c:pt>
                <c:pt idx="3" formatCode="###\°\C">
                  <c:v>17.05</c:v>
                </c:pt>
                <c:pt idx="4">
                  <c:v>29.9</c:v>
                </c:pt>
                <c:pt idx="5">
                  <c:v>21.1</c:v>
                </c:pt>
                <c:pt idx="6">
                  <c:v>24.75</c:v>
                </c:pt>
                <c:pt idx="7">
                  <c:v>24.75</c:v>
                </c:pt>
                <c:pt idx="8">
                  <c:v>23</c:v>
                </c:pt>
                <c:pt idx="9">
                  <c:v>23.4</c:v>
                </c:pt>
              </c:numCache>
            </c:numRef>
          </c:xVal>
          <c:yVal>
            <c:numRef>
              <c:f>Merge8!$AK$52:$AK$59</c:f>
              <c:numCache>
                <c:formatCode>0.00000</c:formatCode>
                <c:ptCount val="8"/>
                <c:pt idx="0">
                  <c:v>2.9999999999752447E-5</c:v>
                </c:pt>
                <c:pt idx="1">
                  <c:v>4.9999999999883471E-5</c:v>
                </c:pt>
                <c:pt idx="2">
                  <c:v>4.1000000000002146E-4</c:v>
                </c:pt>
                <c:pt idx="3">
                  <c:v>6.2999999999968637E-4</c:v>
                </c:pt>
                <c:pt idx="4">
                  <c:v>7.6999999999971536E-4</c:v>
                </c:pt>
                <c:pt idx="5">
                  <c:v>8.3999999999972985E-4</c:v>
                </c:pt>
                <c:pt idx="6">
                  <c:v>7.7999999999978087E-4</c:v>
                </c:pt>
                <c:pt idx="7">
                  <c:v>1.6999999999978144E-4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E-462F-B219-A67AEF3A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781712"/>
        <c:axId val="732780400"/>
      </c:scatterChart>
      <c:valAx>
        <c:axId val="73278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400"/>
        <c:crosses val="autoZero"/>
        <c:crossBetween val="midCat"/>
      </c:valAx>
      <c:valAx>
        <c:axId val="7327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tx>
            <c:v>Boya range tests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Merge8!$AG$96:$AG$107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Merge8!$AL$96:$AL$107</c:f>
              <c:numCache>
                <c:formatCode>0.000000</c:formatCode>
                <c:ptCount val="12"/>
                <c:pt idx="0">
                  <c:v>8.0333333333333342E-4</c:v>
                </c:pt>
                <c:pt idx="1">
                  <c:v>7.8750000000000001E-4</c:v>
                </c:pt>
                <c:pt idx="2">
                  <c:v>6.9500000000000009E-4</c:v>
                </c:pt>
                <c:pt idx="3">
                  <c:v>4.0999999999999999E-4</c:v>
                </c:pt>
                <c:pt idx="4">
                  <c:v>1.4999999999999999E-4</c:v>
                </c:pt>
                <c:pt idx="5">
                  <c:v>4.0000000000000003E-5</c:v>
                </c:pt>
                <c:pt idx="6">
                  <c:v>0</c:v>
                </c:pt>
                <c:pt idx="7">
                  <c:v>3.0000000000000001E-5</c:v>
                </c:pt>
                <c:pt idx="8">
                  <c:v>1.2E-4</c:v>
                </c:pt>
                <c:pt idx="9">
                  <c:v>2.1000000000000001E-4</c:v>
                </c:pt>
                <c:pt idx="10">
                  <c:v>4.6499999999991595E-4</c:v>
                </c:pt>
                <c:pt idx="11">
                  <c:v>7.1999999999983189E-4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800-883E-35638BDE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6-44BF-8DAA-C7540F687CBB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6-44BF-8DAA-C7540F687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Merge8!$AF$159:$AF$182</c:f>
              <c:strCache>
                <c:ptCount val="2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June</c:v>
                </c:pt>
                <c:pt idx="16">
                  <c:v>June</c:v>
                </c:pt>
                <c:pt idx="17">
                  <c:v>July</c:v>
                </c:pt>
                <c:pt idx="18">
                  <c:v>July</c:v>
                </c:pt>
                <c:pt idx="19">
                  <c:v>Aug</c:v>
                </c:pt>
                <c:pt idx="20">
                  <c:v>Sep</c:v>
                </c:pt>
                <c:pt idx="21">
                  <c:v>Nov-20</c:v>
                </c:pt>
                <c:pt idx="22">
                  <c:v>Jan-21</c:v>
                </c:pt>
                <c:pt idx="23">
                  <c:v>Jun-21</c:v>
                </c:pt>
              </c:strCache>
            </c:strRef>
          </c:cat>
          <c:val>
            <c:numRef>
              <c:f>Merge8!$AG$159:$AG$182</c:f>
              <c:numCache>
                <c:formatCode>0.000000</c:formatCode>
                <c:ptCount val="24"/>
                <c:pt idx="0">
                  <c:v>7.1000000000000002E-4</c:v>
                </c:pt>
                <c:pt idx="1">
                  <c:v>8.7000000000000001E-4</c:v>
                </c:pt>
                <c:pt idx="2">
                  <c:v>7.6000000000000004E-4</c:v>
                </c:pt>
                <c:pt idx="3">
                  <c:v>3.7499999999996726E-4</c:v>
                </c:pt>
                <c:pt idx="4">
                  <c:v>-1.0000000000065512E-5</c:v>
                </c:pt>
                <c:pt idx="5" formatCode="General">
                  <c:v>1.4499999999983976E-4</c:v>
                </c:pt>
                <c:pt idx="6">
                  <c:v>2.9999999999974502E-4</c:v>
                </c:pt>
                <c:pt idx="7" formatCode="0.00000">
                  <c:v>-6.0000000000393072E-5</c:v>
                </c:pt>
                <c:pt idx="8">
                  <c:v>2.1999999999966491E-4</c:v>
                </c:pt>
                <c:pt idx="9">
                  <c:v>3.4999999999962839E-4</c:v>
                </c:pt>
                <c:pt idx="10">
                  <c:v>6.1999999999962085E-4</c:v>
                </c:pt>
                <c:pt idx="11" formatCode="0.00000">
                  <c:v>6.9999999999970086E-4</c:v>
                </c:pt>
                <c:pt idx="12" formatCode="General">
                  <c:v>6.3999999999975188E-4</c:v>
                </c:pt>
                <c:pt idx="13" formatCode="General">
                  <c:v>5.8999999999986841E-4</c:v>
                </c:pt>
                <c:pt idx="14" formatCode="General">
                  <c:v>2.1999999999966491E-4</c:v>
                </c:pt>
                <c:pt idx="15" formatCode="General">
                  <c:v>-3.0000000000196536E-5</c:v>
                </c:pt>
                <c:pt idx="16" formatCode="General">
                  <c:v>3.9999999999817959E-5</c:v>
                </c:pt>
                <c:pt idx="17" formatCode="General">
                  <c:v>-1.0000000000065512E-5</c:v>
                </c:pt>
                <c:pt idx="18" formatCode="General">
                  <c:v>2.9999999999752447E-5</c:v>
                </c:pt>
                <c:pt idx="19" formatCode="0.00000">
                  <c:v>-1.4000000000002899E-4</c:v>
                </c:pt>
                <c:pt idx="20" formatCode="0.00000">
                  <c:v>1.1999999999989797E-4</c:v>
                </c:pt>
                <c:pt idx="21" formatCode="0.00000">
                  <c:v>4.8000000000003595E-4</c:v>
                </c:pt>
                <c:pt idx="22" formatCode="0.00000">
                  <c:v>9.6999999999969333E-4</c:v>
                </c:pt>
                <c:pt idx="23" formatCode="0.00000">
                  <c:v>1.0999999999983245E-4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FAF-8A76-26EB011FFC49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2.000000000000000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2576552930883"/>
          <c:y val="0.19486111111111112"/>
          <c:w val="0.84589129483814518"/>
          <c:h val="0.6355278506853310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Merge8!$AI$48:$AI$66</c:f>
              <c:strCache>
                <c:ptCount val="19"/>
                <c:pt idx="0">
                  <c:v>Test 38</c:v>
                </c:pt>
                <c:pt idx="1">
                  <c:v>Test 37</c:v>
                </c:pt>
                <c:pt idx="2">
                  <c:v>Test 36</c:v>
                </c:pt>
                <c:pt idx="3">
                  <c:v>Test 35</c:v>
                </c:pt>
                <c:pt idx="4">
                  <c:v>Test 34</c:v>
                </c:pt>
                <c:pt idx="5">
                  <c:v>Test 33</c:v>
                </c:pt>
                <c:pt idx="6">
                  <c:v>Test 32</c:v>
                </c:pt>
                <c:pt idx="7">
                  <c:v>Test 31</c:v>
                </c:pt>
                <c:pt idx="8">
                  <c:v>Test 30</c:v>
                </c:pt>
                <c:pt idx="9">
                  <c:v>Test 29</c:v>
                </c:pt>
                <c:pt idx="10">
                  <c:v>Test 28</c:v>
                </c:pt>
                <c:pt idx="11">
                  <c:v>Merge 8</c:v>
                </c:pt>
                <c:pt idx="12">
                  <c:v>Merge 7</c:v>
                </c:pt>
                <c:pt idx="13">
                  <c:v>Merge 6</c:v>
                </c:pt>
                <c:pt idx="14">
                  <c:v>Merge 5</c:v>
                </c:pt>
                <c:pt idx="15">
                  <c:v>Merge 4</c:v>
                </c:pt>
                <c:pt idx="16">
                  <c:v>Merge 3</c:v>
                </c:pt>
                <c:pt idx="17">
                  <c:v>Merge 2</c:v>
                </c:pt>
                <c:pt idx="18">
                  <c:v>Merge 1</c:v>
                </c:pt>
              </c:strCache>
            </c:strRef>
          </c:cat>
          <c:val>
            <c:numRef>
              <c:f>Merge8!$AJ$48:$AJ$66</c:f>
              <c:numCache>
                <c:formatCode>0.00000</c:formatCode>
                <c:ptCount val="19"/>
                <c:pt idx="0">
                  <c:v>3.8038400000000001</c:v>
                </c:pt>
                <c:pt idx="1">
                  <c:v>3.8036799999999999</c:v>
                </c:pt>
                <c:pt idx="2">
                  <c:v>3.80369</c:v>
                </c:pt>
                <c:pt idx="3">
                  <c:v>3.80322</c:v>
                </c:pt>
                <c:pt idx="4">
                  <c:v>3.8029999999999999</c:v>
                </c:pt>
                <c:pt idx="5">
                  <c:v>3.8030200000000001</c:v>
                </c:pt>
                <c:pt idx="6">
                  <c:v>3.8033800000000002</c:v>
                </c:pt>
                <c:pt idx="7">
                  <c:v>3.8035999999999999</c:v>
                </c:pt>
                <c:pt idx="8" formatCode="General">
                  <c:v>3.8037399999999999</c:v>
                </c:pt>
                <c:pt idx="9" formatCode="General">
                  <c:v>3.8038099999999999</c:v>
                </c:pt>
                <c:pt idx="10">
                  <c:v>3.80375</c:v>
                </c:pt>
                <c:pt idx="11">
                  <c:v>3.80314</c:v>
                </c:pt>
                <c:pt idx="12">
                  <c:v>3.8037800000000002</c:v>
                </c:pt>
                <c:pt idx="13">
                  <c:v>3.8031199999999998</c:v>
                </c:pt>
                <c:pt idx="14">
                  <c:v>3.8037000000000001</c:v>
                </c:pt>
                <c:pt idx="15">
                  <c:v>3.80389</c:v>
                </c:pt>
                <c:pt idx="16">
                  <c:v>3.8029700000000002</c:v>
                </c:pt>
                <c:pt idx="17">
                  <c:v>3.8029999999999999</c:v>
                </c:pt>
                <c:pt idx="18">
                  <c:v>3.8039000000000001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B-4138-94F1-C7749FBB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568264"/>
        <c:axId val="777901456"/>
      </c:lineChart>
      <c:catAx>
        <c:axId val="87356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901456"/>
        <c:crosses val="autoZero"/>
        <c:auto val="1"/>
        <c:lblAlgn val="ctr"/>
        <c:lblOffset val="100"/>
        <c:noMultiLvlLbl val="0"/>
      </c:catAx>
      <c:valAx>
        <c:axId val="7779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data'!$N$27:$N$46</c:f>
              <c:numCache>
                <c:formatCode>0.00000</c:formatCode>
                <c:ptCount val="20"/>
                <c:pt idx="0">
                  <c:v>7.0000000000000617E-5</c:v>
                </c:pt>
                <c:pt idx="1">
                  <c:v>2.9999999999974492E-5</c:v>
                </c:pt>
                <c:pt idx="2">
                  <c:v>3.0000000000002247E-4</c:v>
                </c:pt>
                <c:pt idx="3">
                  <c:v>-4.0000000000040004E-5</c:v>
                </c:pt>
                <c:pt idx="4">
                  <c:v>9.9999999999544897E-6</c:v>
                </c:pt>
                <c:pt idx="5">
                  <c:v>5.9999999999948983E-5</c:v>
                </c:pt>
                <c:pt idx="6">
                  <c:v>9.8661098377528234E-5</c:v>
                </c:pt>
                <c:pt idx="7">
                  <c:v>4.8868161867110516E-5</c:v>
                </c:pt>
                <c:pt idx="8">
                  <c:v>9.092633042939724E-6</c:v>
                </c:pt>
                <c:pt idx="9">
                  <c:v>8.9372947869481578E-5</c:v>
                </c:pt>
                <c:pt idx="10">
                  <c:v>1.4959501123490426E-4</c:v>
                </c:pt>
                <c:pt idx="11">
                  <c:v>1.797008096975361E-4</c:v>
                </c:pt>
                <c:pt idx="12">
                  <c:v>4.8981176913631685E-4</c:v>
                </c:pt>
                <c:pt idx="13">
                  <c:v>1.1000147750461764E-4</c:v>
                </c:pt>
                <c:pt idx="14">
                  <c:v>3.0015582286901932E-4</c:v>
                </c:pt>
                <c:pt idx="15">
                  <c:v>2.7028325129574426E-4</c:v>
                </c:pt>
                <c:pt idx="16">
                  <c:v>1.3504187375565913E-3</c:v>
                </c:pt>
                <c:pt idx="17">
                  <c:v>3.9054486213085937E-4</c:v>
                </c:pt>
                <c:pt idx="18">
                  <c:v>4.6067018514639457E-4</c:v>
                </c:pt>
                <c:pt idx="19">
                  <c:v>4.5084627219837969E-4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7-4C8C-8A01-A331568E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52616"/>
        <c:axId val="659250976"/>
      </c:lineChart>
      <c:catAx>
        <c:axId val="6592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0976"/>
        <c:crosses val="autoZero"/>
        <c:auto val="1"/>
        <c:lblAlgn val="ctr"/>
        <c:lblOffset val="100"/>
        <c:noMultiLvlLbl val="0"/>
      </c:catAx>
      <c:valAx>
        <c:axId val="6592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'Recent data'!$R$26</c:f>
              <c:strCache>
                <c:ptCount val="1"/>
                <c:pt idx="0">
                  <c:v>M7-A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data'!$R$27:$R$46</c:f>
              <c:numCache>
                <c:formatCode>0.00000</c:formatCode>
                <c:ptCount val="20"/>
                <c:pt idx="0">
                  <c:v>-3.0000000000016125E-5</c:v>
                </c:pt>
                <c:pt idx="1">
                  <c:v>4.9999999999994493E-5</c:v>
                </c:pt>
                <c:pt idx="2">
                  <c:v>-2.3000000000000798E-4</c:v>
                </c:pt>
                <c:pt idx="3">
                  <c:v>4.9999999999994493E-5</c:v>
                </c:pt>
                <c:pt idx="4">
                  <c:v>5.9999999999948983E-5</c:v>
                </c:pt>
                <c:pt idx="5">
                  <c:v>4.9999999999994493E-5</c:v>
                </c:pt>
                <c:pt idx="6">
                  <c:v>-2.7428911593574412E-5</c:v>
                </c:pt>
                <c:pt idx="7">
                  <c:v>5.0842501664094542E-5</c:v>
                </c:pt>
                <c:pt idx="8">
                  <c:v>1.7896932337047033E-4</c:v>
                </c:pt>
                <c:pt idx="9">
                  <c:v>1.0663681307976347E-4</c:v>
                </c:pt>
                <c:pt idx="10">
                  <c:v>2.4788842029721536E-5</c:v>
                </c:pt>
                <c:pt idx="11">
                  <c:v>-2.0609152095918404E-4</c:v>
                </c:pt>
                <c:pt idx="12">
                  <c:v>-3.3700052217788823E-4</c:v>
                </c:pt>
                <c:pt idx="13">
                  <c:v>1.5139860778123904E-4</c:v>
                </c:pt>
                <c:pt idx="14">
                  <c:v>-4.9878209135822971E-5</c:v>
                </c:pt>
                <c:pt idx="15">
                  <c:v>9.9058045176292353E-5</c:v>
                </c:pt>
                <c:pt idx="16">
                  <c:v>-8.8201585342906341E-4</c:v>
                </c:pt>
                <c:pt idx="17">
                  <c:v>4.6883500279371049E-5</c:v>
                </c:pt>
                <c:pt idx="18">
                  <c:v>4.5842441112053933E-5</c:v>
                </c:pt>
                <c:pt idx="19">
                  <c:v>2.4374119161230112E-5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9-4D34-8281-E298C4789E65}"/>
            </c:ext>
          </c:extLst>
        </c:ser>
        <c:ser>
          <c:idx val="2"/>
          <c:order val="1"/>
          <c:tx>
            <c:strRef>
              <c:f>'Recent data'!$S$26</c:f>
              <c:strCache>
                <c:ptCount val="1"/>
                <c:pt idx="0">
                  <c:v>M7-B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data'!$S$27:$S$46</c:f>
              <c:numCache>
                <c:formatCode>0.00000</c:formatCode>
                <c:ptCount val="20"/>
                <c:pt idx="0">
                  <c:v>3.9999999999984492E-5</c:v>
                </c:pt>
                <c:pt idx="1">
                  <c:v>7.9999999999968985E-5</c:v>
                </c:pt>
                <c:pt idx="2">
                  <c:v>7.0000000000014495E-5</c:v>
                </c:pt>
                <c:pt idx="3">
                  <c:v>9.9999999999544897E-6</c:v>
                </c:pt>
                <c:pt idx="4">
                  <c:v>6.9999999999903473E-5</c:v>
                </c:pt>
                <c:pt idx="5">
                  <c:v>1.0999999999994348E-4</c:v>
                </c:pt>
                <c:pt idx="6">
                  <c:v>7.1232186783953821E-5</c:v>
                </c:pt>
                <c:pt idx="7">
                  <c:v>9.9710663531205057E-5</c:v>
                </c:pt>
                <c:pt idx="8">
                  <c:v>1.8806195641341006E-4</c:v>
                </c:pt>
                <c:pt idx="9">
                  <c:v>1.9600976094924505E-4</c:v>
                </c:pt>
                <c:pt idx="10">
                  <c:v>1.743838532646258E-4</c:v>
                </c:pt>
                <c:pt idx="11">
                  <c:v>-2.6390711261647937E-5</c:v>
                </c:pt>
                <c:pt idx="12">
                  <c:v>1.5281124695842863E-4</c:v>
                </c:pt>
                <c:pt idx="13">
                  <c:v>2.6140008528585668E-4</c:v>
                </c:pt>
                <c:pt idx="14">
                  <c:v>2.5027761373319635E-4</c:v>
                </c:pt>
                <c:pt idx="15">
                  <c:v>3.6934129647203662E-4</c:v>
                </c:pt>
                <c:pt idx="16">
                  <c:v>4.6840288412752784E-4</c:v>
                </c:pt>
                <c:pt idx="17">
                  <c:v>4.3742836241023042E-4</c:v>
                </c:pt>
                <c:pt idx="18">
                  <c:v>5.0651262625844851E-4</c:v>
                </c:pt>
                <c:pt idx="19">
                  <c:v>4.7522039135960981E-4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9-4D34-8281-E298C478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753896"/>
        <c:axId val="723749304"/>
      </c:lineChart>
      <c:catAx>
        <c:axId val="72375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49304"/>
        <c:crosses val="autoZero"/>
        <c:auto val="1"/>
        <c:lblAlgn val="ctr"/>
        <c:lblOffset val="100"/>
        <c:noMultiLvlLbl val="0"/>
      </c:catAx>
      <c:valAx>
        <c:axId val="7237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2825896762905"/>
          <c:y val="6.4814814814814811E-2"/>
          <c:w val="0.83823840769903757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Sheet2!$A$3:$A$22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Sheet2!$D$3:$D$22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-3.0000000000002247E-5</c:v>
                </c:pt>
                <c:pt idx="2">
                  <c:v>2.0000000000000573E-4</c:v>
                </c:pt>
                <c:pt idx="3">
                  <c:v>-2.2999999999998022E-4</c:v>
                </c:pt>
                <c:pt idx="4">
                  <c:v>7.0000000000014495E-5</c:v>
                </c:pt>
                <c:pt idx="5">
                  <c:v>4.0000000000012248E-5</c:v>
                </c:pt>
                <c:pt idx="6">
                  <c:v>9.0000000000006741E-5</c:v>
                </c:pt>
                <c:pt idx="7">
                  <c:v>-3.0000000000002247E-5</c:v>
                </c:pt>
                <c:pt idx="8">
                  <c:v>-2.0000000000020002E-5</c:v>
                </c:pt>
                <c:pt idx="9">
                  <c:v>4.0000000000040004E-5</c:v>
                </c:pt>
                <c:pt idx="10">
                  <c:v>7.0000000000014495E-5</c:v>
                </c:pt>
                <c:pt idx="11">
                  <c:v>1.0000000000010001E-5</c:v>
                </c:pt>
                <c:pt idx="12">
                  <c:v>3.4999999999998921E-4</c:v>
                </c:pt>
                <c:pt idx="13">
                  <c:v>-3.2999999999999696E-4</c:v>
                </c:pt>
                <c:pt idx="14">
                  <c:v>1.0999999999999899E-4</c:v>
                </c:pt>
                <c:pt idx="15">
                  <c:v>-4.9999999999994493E-5</c:v>
                </c:pt>
                <c:pt idx="16">
                  <c:v>1.0600000000000054E-3</c:v>
                </c:pt>
                <c:pt idx="17">
                  <c:v>-9.000000000000119E-4</c:v>
                </c:pt>
                <c:pt idx="18">
                  <c:v>0</c:v>
                </c:pt>
                <c:pt idx="19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6-4CB1-8695-67FA213B7AE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Diff M8-M7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Sheet2!$F$3:$F$22</c:f>
              <c:numCache>
                <c:formatCode>0.00000</c:formatCode>
                <c:ptCount val="20"/>
                <c:pt idx="0">
                  <c:v>-3.0000000000002247E-5</c:v>
                </c:pt>
                <c:pt idx="1">
                  <c:v>-4.9999999999994493E-5</c:v>
                </c:pt>
                <c:pt idx="2">
                  <c:v>7.999999999999674E-5</c:v>
                </c:pt>
                <c:pt idx="3">
                  <c:v>-4.9999999999994493E-5</c:v>
                </c:pt>
                <c:pt idx="4">
                  <c:v>-7.0000000000014495E-5</c:v>
                </c:pt>
                <c:pt idx="5">
                  <c:v>-3.0000000000002247E-5</c:v>
                </c:pt>
                <c:pt idx="6">
                  <c:v>0</c:v>
                </c:pt>
                <c:pt idx="7">
                  <c:v>-6.0000000000004494E-5</c:v>
                </c:pt>
                <c:pt idx="8">
                  <c:v>-6.0000000000004494E-5</c:v>
                </c:pt>
                <c:pt idx="9">
                  <c:v>2.9999999999974492E-5</c:v>
                </c:pt>
                <c:pt idx="10">
                  <c:v>-4.0000000000040004E-5</c:v>
                </c:pt>
                <c:pt idx="11">
                  <c:v>1.8999999999999573E-4</c:v>
                </c:pt>
                <c:pt idx="12">
                  <c:v>-2.0999999999998797E-4</c:v>
                </c:pt>
                <c:pt idx="13">
                  <c:v>-1.4000000000000123E-4</c:v>
                </c:pt>
                <c:pt idx="14">
                  <c:v>9.0000000000006741E-5</c:v>
                </c:pt>
                <c:pt idx="15">
                  <c:v>-1.0000000000001674E-4</c:v>
                </c:pt>
                <c:pt idx="16">
                  <c:v>-7.999999999999674E-5</c:v>
                </c:pt>
                <c:pt idx="17">
                  <c:v>-3.0000000000002247E-5</c:v>
                </c:pt>
                <c:pt idx="18">
                  <c:v>0</c:v>
                </c:pt>
                <c:pt idx="19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6-4CB1-8695-67FA213B7AE4}"/>
            </c:ext>
          </c:extLst>
        </c:ser>
        <c:ser>
          <c:idx val="2"/>
          <c:order val="2"/>
          <c:tx>
            <c:strRef>
              <c:f>Sheet2!$H$2</c:f>
              <c:strCache>
                <c:ptCount val="1"/>
                <c:pt idx="0">
                  <c:v>Diff M7-M6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Sheet2!$H$3:$H$22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1.7999999999998573E-4</c:v>
                </c:pt>
                <c:pt idx="4">
                  <c:v>1.0999999999999899E-4</c:v>
                </c:pt>
                <c:pt idx="5">
                  <c:v>3.0000000000002247E-5</c:v>
                </c:pt>
                <c:pt idx="6">
                  <c:v>-3.9999999999984492E-5</c:v>
                </c:pt>
                <c:pt idx="7">
                  <c:v>1.0000000000010001E-5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0</c:v>
                </c:pt>
                <c:pt idx="11">
                  <c:v>6.9999999999986739E-5</c:v>
                </c:pt>
                <c:pt idx="12">
                  <c:v>4.0000000000012248E-5</c:v>
                </c:pt>
                <c:pt idx="13">
                  <c:v>1.1999999999998123E-4</c:v>
                </c:pt>
                <c:pt idx="14">
                  <c:v>-7.999999999999674E-5</c:v>
                </c:pt>
                <c:pt idx="15">
                  <c:v>1.4000000000000123E-4</c:v>
                </c:pt>
                <c:pt idx="16">
                  <c:v>9.0000000000006741E-5</c:v>
                </c:pt>
                <c:pt idx="17">
                  <c:v>1.0000000000010001E-5</c:v>
                </c:pt>
                <c:pt idx="18">
                  <c:v>4.9999999999994493E-5</c:v>
                </c:pt>
                <c:pt idx="19">
                  <c:v>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6-4CB1-8695-67FA213B7AE4}"/>
            </c:ext>
          </c:extLst>
        </c:ser>
        <c:ser>
          <c:idx val="3"/>
          <c:order val="3"/>
          <c:tx>
            <c:strRef>
              <c:f>Sheet2!$J$2</c:f>
              <c:strCache>
                <c:ptCount val="1"/>
                <c:pt idx="0">
                  <c:v>Diff M6-M5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Sheet2!$J$3:$J$22</c:f>
              <c:numCache>
                <c:formatCode>0.00000</c:formatCode>
                <c:ptCount val="20"/>
                <c:pt idx="0">
                  <c:v>-2.0000000000006124E-5</c:v>
                </c:pt>
                <c:pt idx="1">
                  <c:v>6.0000000000004494E-5</c:v>
                </c:pt>
                <c:pt idx="2">
                  <c:v>-7.999999999999674E-5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3.9999999999984492E-5</c:v>
                </c:pt>
                <c:pt idx="8">
                  <c:v>-3.9999999999984492E-5</c:v>
                </c:pt>
                <c:pt idx="9">
                  <c:v>-4.9999999999994493E-5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-4.0000000000012248E-5</c:v>
                </c:pt>
                <c:pt idx="13">
                  <c:v>-3.0000000000002247E-5</c:v>
                </c:pt>
                <c:pt idx="14">
                  <c:v>3.0000000000002247E-5</c:v>
                </c:pt>
                <c:pt idx="15">
                  <c:v>-1.0999999999999899E-4</c:v>
                </c:pt>
                <c:pt idx="16">
                  <c:v>-6.0000000000004494E-5</c:v>
                </c:pt>
                <c:pt idx="17">
                  <c:v>4.0000000000012248E-5</c:v>
                </c:pt>
                <c:pt idx="18">
                  <c:v>-1.6999999999997573E-4</c:v>
                </c:pt>
                <c:pt idx="19">
                  <c:v>-9.0000000000006741E-5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C6-4CB1-8695-67FA213B7AE4}"/>
            </c:ext>
          </c:extLst>
        </c:ser>
        <c:ser>
          <c:idx val="4"/>
          <c:order val="4"/>
          <c:tx>
            <c:strRef>
              <c:f>Sheet2!$L$2</c:f>
              <c:strCache>
                <c:ptCount val="1"/>
                <c:pt idx="0">
                  <c:v>Diff M5-M4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Sheet2!$L$3:$L$22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-2.0000000000020002E-5</c:v>
                </c:pt>
                <c:pt idx="2">
                  <c:v>9.9999999999988987E-5</c:v>
                </c:pt>
                <c:pt idx="3">
                  <c:v>-2.6000000000001022E-4</c:v>
                </c:pt>
                <c:pt idx="4">
                  <c:v>1.1000000000002674E-4</c:v>
                </c:pt>
                <c:pt idx="5">
                  <c:v>-5.0000000000022249E-5</c:v>
                </c:pt>
                <c:pt idx="6">
                  <c:v>1.0000000000010001E-5</c:v>
                </c:pt>
                <c:pt idx="7">
                  <c:v>1.0000000000010001E-5</c:v>
                </c:pt>
                <c:pt idx="8">
                  <c:v>2.9999999999974492E-5</c:v>
                </c:pt>
                <c:pt idx="9">
                  <c:v>2.9999999999974492E-5</c:v>
                </c:pt>
                <c:pt idx="10">
                  <c:v>-3.9999999999984492E-5</c:v>
                </c:pt>
                <c:pt idx="11">
                  <c:v>1.0999999999999899E-4</c:v>
                </c:pt>
                <c:pt idx="12">
                  <c:v>-6.9999999999986739E-5</c:v>
                </c:pt>
                <c:pt idx="13">
                  <c:v>6.0000000000004494E-5</c:v>
                </c:pt>
                <c:pt idx="14">
                  <c:v>-1.5000000000001124E-4</c:v>
                </c:pt>
                <c:pt idx="15">
                  <c:v>-9.9999999999822453E-6</c:v>
                </c:pt>
                <c:pt idx="16">
                  <c:v>-1.9999999999992246E-5</c:v>
                </c:pt>
                <c:pt idx="17">
                  <c:v>-1.0000000000001674E-4</c:v>
                </c:pt>
                <c:pt idx="18">
                  <c:v>1.0999999999999899E-4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C6-4CB1-8695-67FA213B7AE4}"/>
            </c:ext>
          </c:extLst>
        </c:ser>
        <c:ser>
          <c:idx val="5"/>
          <c:order val="5"/>
          <c:tx>
            <c:strRef>
              <c:f>Sheet2!$N$2</c:f>
              <c:strCache>
                <c:ptCount val="1"/>
                <c:pt idx="0">
                  <c:v>Diff M4-M3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Sheet2!$N$3:$N$22</c:f>
              <c:numCache>
                <c:formatCode>0.00000</c:formatCode>
                <c:ptCount val="20"/>
                <c:pt idx="0">
                  <c:v>3.999999999999837E-5</c:v>
                </c:pt>
                <c:pt idx="1">
                  <c:v>-3.0000000000002247E-5</c:v>
                </c:pt>
                <c:pt idx="2">
                  <c:v>-9.9999999999822453E-6</c:v>
                </c:pt>
                <c:pt idx="3">
                  <c:v>4.9999999999994493E-5</c:v>
                </c:pt>
                <c:pt idx="4">
                  <c:v>5.9999999999976739E-5</c:v>
                </c:pt>
                <c:pt idx="5">
                  <c:v>9.0000000000006741E-5</c:v>
                </c:pt>
                <c:pt idx="6">
                  <c:v>1.9999999999992246E-5</c:v>
                </c:pt>
                <c:pt idx="7">
                  <c:v>3.0000000000002247E-5</c:v>
                </c:pt>
                <c:pt idx="8">
                  <c:v>3.9000000000000146E-4</c:v>
                </c:pt>
                <c:pt idx="9">
                  <c:v>-3.4000000000000696E-4</c:v>
                </c:pt>
                <c:pt idx="10">
                  <c:v>4.9999999999994493E-5</c:v>
                </c:pt>
                <c:pt idx="11">
                  <c:v>4.9999999999994493E-5</c:v>
                </c:pt>
                <c:pt idx="12">
                  <c:v>-2.0000000000020002E-5</c:v>
                </c:pt>
                <c:pt idx="13">
                  <c:v>7.999999999999674E-5</c:v>
                </c:pt>
                <c:pt idx="14">
                  <c:v>6.0000000000004494E-5</c:v>
                </c:pt>
                <c:pt idx="15">
                  <c:v>6.0000000000004494E-5</c:v>
                </c:pt>
                <c:pt idx="16">
                  <c:v>7.999999999999674E-5</c:v>
                </c:pt>
                <c:pt idx="17">
                  <c:v>1.0000000000001674E-4</c:v>
                </c:pt>
                <c:pt idx="18">
                  <c:v>5.9999999999976739E-5</c:v>
                </c:pt>
                <c:pt idx="19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C6-4CB1-8695-67FA213B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14336"/>
        <c:axId val="563613680"/>
      </c:lineChart>
      <c:catAx>
        <c:axId val="5636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3680"/>
        <c:crosses val="autoZero"/>
        <c:auto val="1"/>
        <c:lblAlgn val="ctr"/>
        <c:lblOffset val="100"/>
        <c:noMultiLvlLbl val="0"/>
      </c:catAx>
      <c:valAx>
        <c:axId val="563613680"/>
        <c:scaling>
          <c:orientation val="minMax"/>
          <c:max val="4.0000000000000013E-4"/>
          <c:min val="-4.000000000000001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4336"/>
        <c:crosses val="autoZero"/>
        <c:crossBetween val="between"/>
        <c:majorUnit val="1.0000000000000003E-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5277461704574"/>
          <c:y val="0.88853096209316096"/>
          <c:w val="0.76125923565912645"/>
          <c:h val="5.6807005290358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</a:t>
            </a:r>
            <a:r>
              <a:rPr lang="en-AU" baseline="0"/>
              <a:t> 25, 26, 27 Totals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Calcs!$X$2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Calcs!$X$3:$X$23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2.0000000000020002E-5</c:v>
                </c:pt>
                <c:pt idx="3">
                  <c:v>9.0000000000034497E-5</c:v>
                </c:pt>
                <c:pt idx="4">
                  <c:v>-4.9999999999994493E-5</c:v>
                </c:pt>
                <c:pt idx="5">
                  <c:v>-5.9999999999948983E-5</c:v>
                </c:pt>
                <c:pt idx="6">
                  <c:v>-6.9999999999903473E-5</c:v>
                </c:pt>
                <c:pt idx="7">
                  <c:v>-7.9999999999857963E-5</c:v>
                </c:pt>
                <c:pt idx="8">
                  <c:v>-1.1999999999989797E-4</c:v>
                </c:pt>
                <c:pt idx="9">
                  <c:v>-9.9999999999766942E-5</c:v>
                </c:pt>
                <c:pt idx="10">
                  <c:v>-1.9999999999686935E-5</c:v>
                </c:pt>
                <c:pt idx="11">
                  <c:v>-1.2999999999951939E-4</c:v>
                </c:pt>
                <c:pt idx="12">
                  <c:v>-1.7999999999940286E-4</c:v>
                </c:pt>
                <c:pt idx="13">
                  <c:v>-1.6999999999933735E-4</c:v>
                </c:pt>
                <c:pt idx="14">
                  <c:v>-1.3999999999914081E-4</c:v>
                </c:pt>
                <c:pt idx="15">
                  <c:v>-3.999999999937387E-5</c:v>
                </c:pt>
                <c:pt idx="16">
                  <c:v>-1.9999999999242846E-5</c:v>
                </c:pt>
                <c:pt idx="17">
                  <c:v>-9.9999999991773336E-6</c:v>
                </c:pt>
                <c:pt idx="18">
                  <c:v>-9.9999999999322853E-5</c:v>
                </c:pt>
                <c:pt idx="19">
                  <c:v>-9.9999999996214228E-6</c:v>
                </c:pt>
                <c:pt idx="20">
                  <c:v>-1.0999999999938836E-4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BEC-8572-0D7209548E5F}"/>
            </c:ext>
          </c:extLst>
        </c:ser>
        <c:ser>
          <c:idx val="1"/>
          <c:order val="1"/>
          <c:tx>
            <c:strRef>
              <c:f>Calcs!$Y$2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Calcs!$Y$3:$Y$23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-1.2000000000000899E-4</c:v>
                </c:pt>
                <c:pt idx="4">
                  <c:v>8.0000000000080007E-5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1.7000000000000348E-4</c:v>
                </c:pt>
                <c:pt idx="8">
                  <c:v>1.8999999999991246E-4</c:v>
                </c:pt>
                <c:pt idx="9">
                  <c:v>1.5999999999971593E-4</c:v>
                </c:pt>
                <c:pt idx="10">
                  <c:v>5.9999999999504894E-5</c:v>
                </c:pt>
                <c:pt idx="11">
                  <c:v>1.8999999999946837E-4</c:v>
                </c:pt>
                <c:pt idx="12">
                  <c:v>2.3999999999935184E-4</c:v>
                </c:pt>
                <c:pt idx="13">
                  <c:v>2.5999999999948287E-4</c:v>
                </c:pt>
                <c:pt idx="14">
                  <c:v>2.4999999999941735E-4</c:v>
                </c:pt>
                <c:pt idx="15">
                  <c:v>1.6999999999933735E-4</c:v>
                </c:pt>
                <c:pt idx="16">
                  <c:v>1.3999999999914081E-4</c:v>
                </c:pt>
                <c:pt idx="17">
                  <c:v>7.9999999998747739E-5</c:v>
                </c:pt>
                <c:pt idx="18">
                  <c:v>1.5999999999882775E-4</c:v>
                </c:pt>
                <c:pt idx="19">
                  <c:v>6.9999999999126317E-5</c:v>
                </c:pt>
                <c:pt idx="20">
                  <c:v>1.9999999999908979E-4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5-4BEC-8572-0D7209548E5F}"/>
            </c:ext>
          </c:extLst>
        </c:ser>
        <c:ser>
          <c:idx val="2"/>
          <c:order val="2"/>
          <c:tx>
            <c:strRef>
              <c:f>Calcs!$Z$2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Calcs!$Z$3:$Z$23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4.0000000000040004E-5</c:v>
                </c:pt>
                <c:pt idx="3">
                  <c:v>-2.9999999999974492E-5</c:v>
                </c:pt>
                <c:pt idx="4">
                  <c:v>3.0000000000085514E-5</c:v>
                </c:pt>
                <c:pt idx="5">
                  <c:v>4.0000000000040004E-5</c:v>
                </c:pt>
                <c:pt idx="6">
                  <c:v>-9.9999999999544897E-6</c:v>
                </c:pt>
                <c:pt idx="7">
                  <c:v>9.0000000000145519E-5</c:v>
                </c:pt>
                <c:pt idx="8">
                  <c:v>7.0000000000014495E-5</c:v>
                </c:pt>
                <c:pt idx="9">
                  <c:v>5.9999999999948983E-5</c:v>
                </c:pt>
                <c:pt idx="10">
                  <c:v>3.9999999999817959E-5</c:v>
                </c:pt>
                <c:pt idx="11">
                  <c:v>5.9999999999948983E-5</c:v>
                </c:pt>
                <c:pt idx="12">
                  <c:v>5.9999999999948983E-5</c:v>
                </c:pt>
                <c:pt idx="13">
                  <c:v>9.0000000000145519E-5</c:v>
                </c:pt>
                <c:pt idx="14">
                  <c:v>1.1000000000027654E-4</c:v>
                </c:pt>
                <c:pt idx="15">
                  <c:v>1.2999999999996348E-4</c:v>
                </c:pt>
                <c:pt idx="16">
                  <c:v>1.1999999999989797E-4</c:v>
                </c:pt>
                <c:pt idx="17">
                  <c:v>6.9999999999570406E-5</c:v>
                </c:pt>
                <c:pt idx="18">
                  <c:v>5.9999999999504894E-5</c:v>
                </c:pt>
                <c:pt idx="19">
                  <c:v>5.9999999999504894E-5</c:v>
                </c:pt>
                <c:pt idx="20">
                  <c:v>8.999999999970143E-5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5-4BEC-8572-0D7209548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3808"/>
        <c:axId val="571317752"/>
      </c:lineChart>
      <c:catAx>
        <c:axId val="571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17752"/>
        <c:crosses val="autoZero"/>
        <c:auto val="1"/>
        <c:lblAlgn val="ctr"/>
        <c:lblOffset val="100"/>
        <c:noMultiLvlLbl val="0"/>
      </c:catAx>
      <c:valAx>
        <c:axId val="571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25, 26, 27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Calcs!$AB$2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Calcs!$AB$3:$AB$23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-1.4000000000000123E-4</c:v>
                </c:pt>
                <c:pt idx="5">
                  <c:v>-1.0000000000010001E-5</c:v>
                </c:pt>
                <c:pt idx="6">
                  <c:v>-9.9999999999822453E-6</c:v>
                </c:pt>
                <c:pt idx="7">
                  <c:v>-1.0000000000010001E-5</c:v>
                </c:pt>
                <c:pt idx="8">
                  <c:v>-3.9999999999984492E-5</c:v>
                </c:pt>
                <c:pt idx="9">
                  <c:v>2.0000000000020002E-5</c:v>
                </c:pt>
                <c:pt idx="10">
                  <c:v>8.0000000000024496E-5</c:v>
                </c:pt>
                <c:pt idx="11">
                  <c:v>-1.0999999999999899E-4</c:v>
                </c:pt>
                <c:pt idx="12">
                  <c:v>-4.9999999999994493E-5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1.0000000000001674E-4</c:v>
                </c:pt>
                <c:pt idx="16">
                  <c:v>1.9999999999992246E-5</c:v>
                </c:pt>
                <c:pt idx="17">
                  <c:v>9.9999999999822453E-6</c:v>
                </c:pt>
                <c:pt idx="18">
                  <c:v>-9.0000000000006741E-5</c:v>
                </c:pt>
                <c:pt idx="19">
                  <c:v>9.0000000000006741E-5</c:v>
                </c:pt>
                <c:pt idx="20">
                  <c:v>-1.0000000000001674E-4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6-4A3E-A753-3416B4E82BDC}"/>
            </c:ext>
          </c:extLst>
        </c:ser>
        <c:ser>
          <c:idx val="1"/>
          <c:order val="1"/>
          <c:tx>
            <c:strRef>
              <c:f>Calcs!$AC$2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Calcs!$AC$3:$AC$23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-1.3999999999997348E-4</c:v>
                </c:pt>
                <c:pt idx="4">
                  <c:v>2.0000000000000573E-4</c:v>
                </c:pt>
                <c:pt idx="5">
                  <c:v>1.9999999999992246E-5</c:v>
                </c:pt>
                <c:pt idx="6">
                  <c:v>-4.0000000000012248E-5</c:v>
                </c:pt>
                <c:pt idx="7">
                  <c:v>1.0999999999999899E-4</c:v>
                </c:pt>
                <c:pt idx="8">
                  <c:v>1.9999999999992246E-5</c:v>
                </c:pt>
                <c:pt idx="9">
                  <c:v>-3.0000000000030003E-5</c:v>
                </c:pt>
                <c:pt idx="10">
                  <c:v>-1.000000000000445E-4</c:v>
                </c:pt>
                <c:pt idx="11">
                  <c:v>1.3000000000001899E-4</c:v>
                </c:pt>
                <c:pt idx="12">
                  <c:v>4.9999999999994493E-5</c:v>
                </c:pt>
                <c:pt idx="13">
                  <c:v>2.0000000000020002E-5</c:v>
                </c:pt>
                <c:pt idx="14">
                  <c:v>-1.0000000000010001E-5</c:v>
                </c:pt>
                <c:pt idx="15">
                  <c:v>-8.0000000000024496E-5</c:v>
                </c:pt>
                <c:pt idx="16">
                  <c:v>-3.0000000000002247E-5</c:v>
                </c:pt>
                <c:pt idx="17">
                  <c:v>-6.0000000000004494E-5</c:v>
                </c:pt>
                <c:pt idx="18">
                  <c:v>8.0000000000024496E-5</c:v>
                </c:pt>
                <c:pt idx="19">
                  <c:v>-9.0000000000006741E-5</c:v>
                </c:pt>
                <c:pt idx="20">
                  <c:v>1.3000000000001899E-4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6-4A3E-A753-3416B4E82BDC}"/>
            </c:ext>
          </c:extLst>
        </c:ser>
        <c:ser>
          <c:idx val="2"/>
          <c:order val="2"/>
          <c:tx>
            <c:strRef>
              <c:f>Calcs!$AD$2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Calcs!$AD$3:$AD$23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6.0000000000004494E-5</c:v>
                </c:pt>
                <c:pt idx="5">
                  <c:v>9.9999999999822453E-6</c:v>
                </c:pt>
                <c:pt idx="6">
                  <c:v>-4.9999999999994493E-5</c:v>
                </c:pt>
                <c:pt idx="7">
                  <c:v>9.9999999999988987E-5</c:v>
                </c:pt>
                <c:pt idx="8">
                  <c:v>-1.9999999999992246E-5</c:v>
                </c:pt>
                <c:pt idx="9">
                  <c:v>-1.0000000000010001E-5</c:v>
                </c:pt>
                <c:pt idx="10">
                  <c:v>-2.0000000000020002E-5</c:v>
                </c:pt>
                <c:pt idx="11">
                  <c:v>2.0000000000020002E-5</c:v>
                </c:pt>
                <c:pt idx="12">
                  <c:v>0</c:v>
                </c:pt>
                <c:pt idx="13">
                  <c:v>3.0000000000002247E-5</c:v>
                </c:pt>
                <c:pt idx="14">
                  <c:v>1.9999999999992246E-5</c:v>
                </c:pt>
                <c:pt idx="15">
                  <c:v>1.9999999999992246E-5</c:v>
                </c:pt>
                <c:pt idx="16">
                  <c:v>-1.0000000000010001E-5</c:v>
                </c:pt>
                <c:pt idx="17">
                  <c:v>-5.0000000000022249E-5</c:v>
                </c:pt>
                <c:pt idx="18">
                  <c:v>-9.9999999999822453E-6</c:v>
                </c:pt>
                <c:pt idx="19">
                  <c:v>0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6-4A3E-A753-3416B4E8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84168"/>
        <c:axId val="574684496"/>
      </c:lineChart>
      <c:catAx>
        <c:axId val="5746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496"/>
        <c:crosses val="autoZero"/>
        <c:auto val="1"/>
        <c:lblAlgn val="ctr"/>
        <c:lblOffset val="100"/>
        <c:noMultiLvlLbl val="0"/>
      </c:catAx>
      <c:valAx>
        <c:axId val="574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Calcs!$AJ$2</c:f>
              <c:strCache>
                <c:ptCount val="1"/>
                <c:pt idx="0">
                  <c:v>T27-M8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Calcs!$AJ$3:$AJ$23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0</c:v>
                </c:pt>
                <c:pt idx="3">
                  <c:v>0</c:v>
                </c:pt>
                <c:pt idx="4">
                  <c:v>-3.0000000000002247E-5</c:v>
                </c:pt>
                <c:pt idx="5">
                  <c:v>0</c:v>
                </c:pt>
                <c:pt idx="6">
                  <c:v>-1.9999999999992246E-5</c:v>
                </c:pt>
                <c:pt idx="7">
                  <c:v>4.9999999999994493E-5</c:v>
                </c:pt>
                <c:pt idx="8">
                  <c:v>-1.9999999999992246E-5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-1.9999999999992246E-5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1.9999999999992246E-5</c:v>
                </c:pt>
                <c:pt idx="16">
                  <c:v>0</c:v>
                </c:pt>
                <c:pt idx="17">
                  <c:v>-1.0000000000010001E-5</c:v>
                </c:pt>
                <c:pt idx="18">
                  <c:v>-3.0000000000002247E-5</c:v>
                </c:pt>
                <c:pt idx="19">
                  <c:v>1.9999999999992246E-5</c:v>
                </c:pt>
                <c:pt idx="20">
                  <c:v>-2.0000000000020002E-5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8-48AB-9742-2E05D6EB4F5B}"/>
            </c:ext>
          </c:extLst>
        </c:ser>
        <c:ser>
          <c:idx val="1"/>
          <c:order val="1"/>
          <c:tx>
            <c:strRef>
              <c:f>Calcs!$AK$2</c:f>
              <c:strCache>
                <c:ptCount val="1"/>
                <c:pt idx="0">
                  <c:v>T26-M8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Calcs!$AK$3:$AK$23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1.0999999999999899E-4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6.0000000000004494E-5</c:v>
                </c:pt>
                <c:pt idx="8">
                  <c:v>1.9999999999992246E-5</c:v>
                </c:pt>
                <c:pt idx="9">
                  <c:v>-2.0000000000020002E-5</c:v>
                </c:pt>
                <c:pt idx="10">
                  <c:v>-6.0000000000004494E-5</c:v>
                </c:pt>
                <c:pt idx="11">
                  <c:v>8.0000000000024496E-5</c:v>
                </c:pt>
                <c:pt idx="12">
                  <c:v>3.0000000000002247E-5</c:v>
                </c:pt>
                <c:pt idx="13">
                  <c:v>0</c:v>
                </c:pt>
                <c:pt idx="14">
                  <c:v>-1.9999999999992246E-5</c:v>
                </c:pt>
                <c:pt idx="15">
                  <c:v>-8.0000000000024496E-5</c:v>
                </c:pt>
                <c:pt idx="16">
                  <c:v>-1.9999999999992246E-5</c:v>
                </c:pt>
                <c:pt idx="17">
                  <c:v>-1.9999999999992246E-5</c:v>
                </c:pt>
                <c:pt idx="18">
                  <c:v>6.0000000000004494E-5</c:v>
                </c:pt>
                <c:pt idx="19">
                  <c:v>-7.0000000000014495E-5</c:v>
                </c:pt>
                <c:pt idx="20">
                  <c:v>7.999999999999674E-5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8-48AB-9742-2E05D6EB4F5B}"/>
            </c:ext>
          </c:extLst>
        </c:ser>
        <c:ser>
          <c:idx val="2"/>
          <c:order val="2"/>
          <c:tx>
            <c:strRef>
              <c:f>Calcs!$AL$2</c:f>
              <c:strCache>
                <c:ptCount val="1"/>
                <c:pt idx="0">
                  <c:v>T25-M8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Calcs!$AL$3:$AL$23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-9.0000000000006741E-5</c:v>
                </c:pt>
                <c:pt idx="5">
                  <c:v>-9.9999999999822453E-6</c:v>
                </c:pt>
                <c:pt idx="6">
                  <c:v>3.0000000000002247E-5</c:v>
                </c:pt>
                <c:pt idx="7">
                  <c:v>-4.9999999999994493E-5</c:v>
                </c:pt>
                <c:pt idx="8">
                  <c:v>0</c:v>
                </c:pt>
                <c:pt idx="9">
                  <c:v>1.0000000000010001E-5</c:v>
                </c:pt>
                <c:pt idx="10">
                  <c:v>4.0000000000040004E-5</c:v>
                </c:pt>
                <c:pt idx="11">
                  <c:v>-4.9999999999994493E-5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0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-2.0000000000020002E-5</c:v>
                </c:pt>
                <c:pt idx="19">
                  <c:v>1.9999999999992246E-5</c:v>
                </c:pt>
                <c:pt idx="20">
                  <c:v>-5.0000000000022249E-5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8-48AB-9742-2E05D6EB4F5B}"/>
            </c:ext>
          </c:extLst>
        </c:ser>
        <c:ser>
          <c:idx val="3"/>
          <c:order val="3"/>
          <c:tx>
            <c:strRef>
              <c:f>Calcs!$AH$2</c:f>
              <c:strCache>
                <c:ptCount val="1"/>
                <c:pt idx="0">
                  <c:v>T29-M8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Calcs!$AH$3:$AH$23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3.0000000000002247E-5</c:v>
                </c:pt>
                <c:pt idx="3">
                  <c:v>2.6000000000001022E-4</c:v>
                </c:pt>
                <c:pt idx="4">
                  <c:v>-2.0999999999998797E-4</c:v>
                </c:pt>
                <c:pt idx="5">
                  <c:v>-3.0000000000002247E-5</c:v>
                </c:pt>
                <c:pt idx="6">
                  <c:v>7.999999999999674E-5</c:v>
                </c:pt>
                <c:pt idx="7">
                  <c:v>1.9999999999992246E-5</c:v>
                </c:pt>
                <c:pt idx="8">
                  <c:v>3.0000000000002247E-5</c:v>
                </c:pt>
                <c:pt idx="9">
                  <c:v>7.0000000000014495E-5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1.9999999999992246E-5</c:v>
                </c:pt>
                <c:pt idx="13">
                  <c:v>3.4999999999998921E-4</c:v>
                </c:pt>
                <c:pt idx="14">
                  <c:v>-2.9999999999999472E-4</c:v>
                </c:pt>
                <c:pt idx="15">
                  <c:v>2.9999999999974492E-5</c:v>
                </c:pt>
                <c:pt idx="16">
                  <c:v>4.9999999999994493E-5</c:v>
                </c:pt>
                <c:pt idx="17">
                  <c:v>1.0100000000000109E-3</c:v>
                </c:pt>
                <c:pt idx="18">
                  <c:v>-8.8000000000001966E-4</c:v>
                </c:pt>
                <c:pt idx="19">
                  <c:v>0</c:v>
                </c:pt>
                <c:pt idx="20">
                  <c:v>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8-48AB-9742-2E05D6EB4F5B}"/>
            </c:ext>
          </c:extLst>
        </c:ser>
        <c:ser>
          <c:idx val="4"/>
          <c:order val="4"/>
          <c:tx>
            <c:strRef>
              <c:f>Calcs!$AG$2</c:f>
              <c:strCache>
                <c:ptCount val="1"/>
                <c:pt idx="0">
                  <c:v>T30-M8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Calcs!$AG$3:$AG$23</c:f>
              <c:numCache>
                <c:formatCode>0.00000</c:formatCode>
                <c:ptCount val="21"/>
                <c:pt idx="1">
                  <c:v>8.0000000000010618E-5</c:v>
                </c:pt>
                <c:pt idx="2">
                  <c:v>-1.0000000000010001E-5</c:v>
                </c:pt>
                <c:pt idx="3">
                  <c:v>2.6999999999999247E-4</c:v>
                </c:pt>
                <c:pt idx="4">
                  <c:v>-1.7999999999998573E-4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3.0000000000002247E-5</c:v>
                </c:pt>
                <c:pt idx="8">
                  <c:v>4.0000000000012248E-5</c:v>
                </c:pt>
                <c:pt idx="9">
                  <c:v>3.9999999999984492E-5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0</c:v>
                </c:pt>
                <c:pt idx="13">
                  <c:v>3.5999999999999921E-4</c:v>
                </c:pt>
                <c:pt idx="14">
                  <c:v>-2.9999999999999472E-4</c:v>
                </c:pt>
                <c:pt idx="15">
                  <c:v>9.9999999999822453E-6</c:v>
                </c:pt>
                <c:pt idx="16">
                  <c:v>3.0000000000002247E-5</c:v>
                </c:pt>
                <c:pt idx="17">
                  <c:v>1.0399999999999854E-3</c:v>
                </c:pt>
                <c:pt idx="18">
                  <c:v>-9.3000000000001415E-4</c:v>
                </c:pt>
                <c:pt idx="19">
                  <c:v>-1.0000000000010001E-5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9-4AE5-AC04-7FF6936C788C}"/>
            </c:ext>
          </c:extLst>
        </c:ser>
        <c:ser>
          <c:idx val="5"/>
          <c:order val="5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9-4AE5-AC04-7FF6936C788C}"/>
            </c:ext>
          </c:extLst>
        </c:ser>
        <c:ser>
          <c:idx val="6"/>
          <c:order val="6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9-4AE5-AC04-7FF6936C788C}"/>
            </c:ext>
          </c:extLst>
        </c:ser>
        <c:ser>
          <c:idx val="7"/>
          <c:order val="7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9-4AE5-AC04-7FF6936C7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96656"/>
        <c:axId val="523502560"/>
      </c:lineChart>
      <c:catAx>
        <c:axId val="5234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02560"/>
        <c:crosses val="autoZero"/>
        <c:auto val="1"/>
        <c:lblAlgn val="ctr"/>
        <c:lblOffset val="100"/>
        <c:noMultiLvlLbl val="0"/>
      </c:catAx>
      <c:valAx>
        <c:axId val="5235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28, 29, 30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3-4654-8A88-8386108F94D3}"/>
            </c:ext>
          </c:extLst>
        </c:ser>
        <c:ser>
          <c:idx val="1"/>
          <c:order val="1"/>
          <c:tx>
            <c:strRef>
              <c:f>Calcs!$AN$2</c:f>
              <c:strCache>
                <c:ptCount val="1"/>
                <c:pt idx="0">
                  <c:v>T29-T28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Calcs!$AN$3:$AN$23</c:f>
              <c:numCache>
                <c:formatCode>0.00000</c:formatCode>
                <c:ptCount val="21"/>
                <c:pt idx="1">
                  <c:v>-3.999999999999837E-5</c:v>
                </c:pt>
                <c:pt idx="2">
                  <c:v>6.0000000000004494E-5</c:v>
                </c:pt>
                <c:pt idx="3">
                  <c:v>6.0000000000004494E-5</c:v>
                </c:pt>
                <c:pt idx="4">
                  <c:v>1.9999999999992246E-5</c:v>
                </c:pt>
                <c:pt idx="5">
                  <c:v>-1.0000000000001674E-4</c:v>
                </c:pt>
                <c:pt idx="6">
                  <c:v>3.9999999999984492E-5</c:v>
                </c:pt>
                <c:pt idx="7">
                  <c:v>-7.0000000000014495E-5</c:v>
                </c:pt>
                <c:pt idx="8">
                  <c:v>6.0000000000004494E-5</c:v>
                </c:pt>
                <c:pt idx="9">
                  <c:v>9.0000000000034497E-5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9.9999999999822453E-6</c:v>
                </c:pt>
                <c:pt idx="13">
                  <c:v>0</c:v>
                </c:pt>
                <c:pt idx="14">
                  <c:v>3.0000000000002247E-5</c:v>
                </c:pt>
                <c:pt idx="15">
                  <c:v>-8.0000000000024496E-5</c:v>
                </c:pt>
                <c:pt idx="16">
                  <c:v>9.9999999999988987E-5</c:v>
                </c:pt>
                <c:pt idx="17">
                  <c:v>-4.9999999999994493E-5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654-8A88-8386108F94D3}"/>
            </c:ext>
          </c:extLst>
        </c:ser>
        <c:ser>
          <c:idx val="2"/>
          <c:order val="2"/>
          <c:tx>
            <c:strRef>
              <c:f>Calcs!$AO$2</c:f>
              <c:strCache>
                <c:ptCount val="1"/>
                <c:pt idx="0">
                  <c:v>T30-T28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Calcs!$AO$3:$AO$23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1.9999999999992246E-5</c:v>
                </c:pt>
                <c:pt idx="3">
                  <c:v>6.9999999999986739E-5</c:v>
                </c:pt>
                <c:pt idx="4">
                  <c:v>4.9999999999994493E-5</c:v>
                </c:pt>
                <c:pt idx="5">
                  <c:v>-9.0000000000006741E-5</c:v>
                </c:pt>
                <c:pt idx="6">
                  <c:v>9.9999999999822453E-6</c:v>
                </c:pt>
                <c:pt idx="7">
                  <c:v>-6.0000000000004494E-5</c:v>
                </c:pt>
                <c:pt idx="8">
                  <c:v>7.0000000000014495E-5</c:v>
                </c:pt>
                <c:pt idx="9">
                  <c:v>6.0000000000004494E-5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-1.0000000000010001E-5</c:v>
                </c:pt>
                <c:pt idx="13">
                  <c:v>1.0000000000010001E-5</c:v>
                </c:pt>
                <c:pt idx="14">
                  <c:v>3.0000000000002247E-5</c:v>
                </c:pt>
                <c:pt idx="15">
                  <c:v>-1.0000000000001674E-4</c:v>
                </c:pt>
                <c:pt idx="16">
                  <c:v>7.999999999999674E-5</c:v>
                </c:pt>
                <c:pt idx="17">
                  <c:v>-2.0000000000020002E-5</c:v>
                </c:pt>
                <c:pt idx="18">
                  <c:v>-3.0000000000002247E-5</c:v>
                </c:pt>
                <c:pt idx="19">
                  <c:v>-1.0000000000010001E-5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3-4654-8A88-8386108F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83232"/>
        <c:axId val="527685528"/>
      </c:lineChart>
      <c:catAx>
        <c:axId val="5276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5528"/>
        <c:crosses val="autoZero"/>
        <c:auto val="1"/>
        <c:lblAlgn val="ctr"/>
        <c:lblOffset val="100"/>
        <c:noMultiLvlLbl val="0"/>
      </c:catAx>
      <c:valAx>
        <c:axId val="527685528"/>
        <c:scaling>
          <c:orientation val="minMax"/>
          <c:max val="1.0000000000000003E-4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E-43D7-BFD5-8281B83835CA}"/>
            </c:ext>
          </c:extLst>
        </c:ser>
        <c:ser>
          <c:idx val="1"/>
          <c:order val="1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E-43D7-BFD5-8281B83835CA}"/>
            </c:ext>
          </c:extLst>
        </c:ser>
        <c:ser>
          <c:idx val="2"/>
          <c:order val="2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E-43D7-BFD5-8281B83835CA}"/>
            </c:ext>
          </c:extLst>
        </c:ser>
        <c:ser>
          <c:idx val="3"/>
          <c:order val="3"/>
          <c:tx>
            <c:strRef>
              <c:f>Calcs!$AR$2</c:f>
              <c:strCache>
                <c:ptCount val="1"/>
                <c:pt idx="0">
                  <c:v>T28-M5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Calcs!$AR$3:$AR$23</c:f>
              <c:numCache>
                <c:formatCode>0.00000</c:formatCode>
                <c:ptCount val="21"/>
                <c:pt idx="1">
                  <c:v>9.9999999999961231E-6</c:v>
                </c:pt>
                <c:pt idx="2">
                  <c:v>-1.9999999999992246E-5</c:v>
                </c:pt>
                <c:pt idx="3">
                  <c:v>-1.9999999999992246E-5</c:v>
                </c:pt>
                <c:pt idx="4">
                  <c:v>-1.1999999999998123E-4</c:v>
                </c:pt>
                <c:pt idx="5">
                  <c:v>1.5999999999999348E-4</c:v>
                </c:pt>
                <c:pt idx="6">
                  <c:v>2.0000000000020002E-5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-6.0000000000004494E-5</c:v>
                </c:pt>
                <c:pt idx="10">
                  <c:v>-9.9999999999544897E-6</c:v>
                </c:pt>
                <c:pt idx="11">
                  <c:v>4.9999999999994493E-5</c:v>
                </c:pt>
                <c:pt idx="12">
                  <c:v>2.4000000000001798E-4</c:v>
                </c:pt>
                <c:pt idx="13">
                  <c:v>1.4000000000000123E-4</c:v>
                </c:pt>
                <c:pt idx="14">
                  <c:v>-3.8000000000001921E-4</c:v>
                </c:pt>
                <c:pt idx="15">
                  <c:v>1.5000000000001124E-4</c:v>
                </c:pt>
                <c:pt idx="16">
                  <c:v>-1.2000000000000899E-4</c:v>
                </c:pt>
                <c:pt idx="17">
                  <c:v>1.0100000000000109E-3</c:v>
                </c:pt>
                <c:pt idx="18">
                  <c:v>-8.799999999999919E-4</c:v>
                </c:pt>
                <c:pt idx="19">
                  <c:v>-1.1999999999998123E-4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E-43D7-BFD5-8281B83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10824"/>
        <c:axId val="570115088"/>
      </c:lineChart>
      <c:catAx>
        <c:axId val="57011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5088"/>
        <c:crosses val="autoZero"/>
        <c:auto val="1"/>
        <c:lblAlgn val="ctr"/>
        <c:lblOffset val="100"/>
        <c:noMultiLvlLbl val="0"/>
      </c:catAx>
      <c:valAx>
        <c:axId val="5701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E-44B0-B512-0E2C371D36E6}"/>
            </c:ext>
          </c:extLst>
        </c:ser>
        <c:ser>
          <c:idx val="1"/>
          <c:order val="1"/>
          <c:tx>
            <c:strRef>
              <c:f>Calcs!$AU$2</c:f>
              <c:strCache>
                <c:ptCount val="1"/>
                <c:pt idx="0">
                  <c:v>M8-M6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Calcs!$AU$3:$AU$23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-1.4000000000000123E-4</c:v>
                </c:pt>
                <c:pt idx="4">
                  <c:v>1.2999999999999123E-4</c:v>
                </c:pt>
                <c:pt idx="5">
                  <c:v>3.9999999999984492E-5</c:v>
                </c:pt>
                <c:pt idx="6">
                  <c:v>0</c:v>
                </c:pt>
                <c:pt idx="7">
                  <c:v>-3.9999999999984492E-5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0</c:v>
                </c:pt>
                <c:pt idx="11">
                  <c:v>-4.0000000000040004E-5</c:v>
                </c:pt>
                <c:pt idx="12">
                  <c:v>2.5999999999998247E-4</c:v>
                </c:pt>
                <c:pt idx="13">
                  <c:v>-1.6999999999997573E-4</c:v>
                </c:pt>
                <c:pt idx="14">
                  <c:v>-2.0000000000020002E-5</c:v>
                </c:pt>
                <c:pt idx="15">
                  <c:v>1.0000000000010001E-5</c:v>
                </c:pt>
                <c:pt idx="16">
                  <c:v>3.9999999999984492E-5</c:v>
                </c:pt>
                <c:pt idx="17">
                  <c:v>1.0000000000010001E-5</c:v>
                </c:pt>
                <c:pt idx="18">
                  <c:v>-1.9999999999992246E-5</c:v>
                </c:pt>
                <c:pt idx="19">
                  <c:v>4.9999999999994493E-5</c:v>
                </c:pt>
                <c:pt idx="20">
                  <c:v>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E-44B0-B512-0E2C371D36E6}"/>
            </c:ext>
          </c:extLst>
        </c:ser>
        <c:ser>
          <c:idx val="2"/>
          <c:order val="2"/>
          <c:tx>
            <c:strRef>
              <c:f>Calcs!$AV$2</c:f>
              <c:strCache>
                <c:ptCount val="1"/>
                <c:pt idx="0">
                  <c:v>M8-M5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Calcs!$AV$3:$AV$23</c:f>
              <c:numCache>
                <c:formatCode>0.00000</c:formatCode>
                <c:ptCount val="21"/>
                <c:pt idx="1">
                  <c:v>-5.0000000000008371E-5</c:v>
                </c:pt>
                <c:pt idx="2">
                  <c:v>1.0000000000010001E-5</c:v>
                </c:pt>
                <c:pt idx="3">
                  <c:v>-2.1999999999999797E-4</c:v>
                </c:pt>
                <c:pt idx="4">
                  <c:v>1.0999999999999899E-4</c:v>
                </c:pt>
                <c:pt idx="5">
                  <c:v>8.9999999999978986E-5</c:v>
                </c:pt>
                <c:pt idx="6">
                  <c:v>-1.9999999999992246E-5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-3.9999999999984492E-5</c:v>
                </c:pt>
                <c:pt idx="10">
                  <c:v>-4.9999999999994493E-5</c:v>
                </c:pt>
                <c:pt idx="11">
                  <c:v>-2.0000000000020002E-5</c:v>
                </c:pt>
                <c:pt idx="12">
                  <c:v>2.3000000000000798E-4</c:v>
                </c:pt>
                <c:pt idx="13">
                  <c:v>-2.0999999999998797E-4</c:v>
                </c:pt>
                <c:pt idx="14">
                  <c:v>-5.0000000000022249E-5</c:v>
                </c:pt>
                <c:pt idx="15">
                  <c:v>4.0000000000012248E-5</c:v>
                </c:pt>
                <c:pt idx="16">
                  <c:v>-7.0000000000014495E-5</c:v>
                </c:pt>
                <c:pt idx="17">
                  <c:v>-4.9999999999994493E-5</c:v>
                </c:pt>
                <c:pt idx="18">
                  <c:v>2.0000000000020002E-5</c:v>
                </c:pt>
                <c:pt idx="19">
                  <c:v>-1.1999999999998123E-4</c:v>
                </c:pt>
                <c:pt idx="20">
                  <c:v>-3.9999999999984492E-5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E-44B0-B512-0E2C371D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7264"/>
        <c:axId val="358450872"/>
      </c:lineChart>
      <c:catAx>
        <c:axId val="3584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0872"/>
        <c:crosses val="autoZero"/>
        <c:auto val="1"/>
        <c:lblAlgn val="ctr"/>
        <c:lblOffset val="100"/>
        <c:noMultiLvlLbl val="0"/>
      </c:catAx>
      <c:valAx>
        <c:axId val="35845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range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9-46EC-9433-661DD6B07A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99-46EC-9433-661DD6B07A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9-46EC-9433-661DD6B07AB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99-46EC-9433-661DD6B07AB6}"/>
              </c:ext>
            </c:extLst>
          </c:dPt>
          <c:cat>
            <c:strRef>
              <c:f>Sheet3!$A$2:$A$17</c:f>
              <c:strCache>
                <c:ptCount val="16"/>
                <c:pt idx="0">
                  <c:v>Test 30</c:v>
                </c:pt>
                <c:pt idx="1">
                  <c:v>Test 29</c:v>
                </c:pt>
                <c:pt idx="2">
                  <c:v>Test 28</c:v>
                </c:pt>
                <c:pt idx="3">
                  <c:v>M8</c:v>
                </c:pt>
                <c:pt idx="4">
                  <c:v>Test 27</c:v>
                </c:pt>
                <c:pt idx="5">
                  <c:v>Test 26</c:v>
                </c:pt>
                <c:pt idx="6">
                  <c:v>Test 25</c:v>
                </c:pt>
                <c:pt idx="7">
                  <c:v>M7</c:v>
                </c:pt>
                <c:pt idx="8">
                  <c:v>Test 24</c:v>
                </c:pt>
                <c:pt idx="9">
                  <c:v>Test 23</c:v>
                </c:pt>
                <c:pt idx="10">
                  <c:v>Test 22</c:v>
                </c:pt>
                <c:pt idx="11">
                  <c:v>M6</c:v>
                </c:pt>
                <c:pt idx="12">
                  <c:v>Test 21</c:v>
                </c:pt>
                <c:pt idx="13">
                  <c:v>Test 20</c:v>
                </c:pt>
                <c:pt idx="14">
                  <c:v>Test 19</c:v>
                </c:pt>
                <c:pt idx="15">
                  <c:v>M5</c:v>
                </c:pt>
              </c:strCache>
            </c:strRef>
          </c:cat>
          <c:val>
            <c:numRef>
              <c:f>Sheet3!$B$2:$B$17</c:f>
              <c:numCache>
                <c:formatCode>General</c:formatCode>
                <c:ptCount val="16"/>
                <c:pt idx="0">
                  <c:v>-3.8037399999999999</c:v>
                </c:pt>
                <c:pt idx="1">
                  <c:v>-3.8038099999999999</c:v>
                </c:pt>
                <c:pt idx="2">
                  <c:v>-3.80375</c:v>
                </c:pt>
                <c:pt idx="3">
                  <c:v>-3.8031700000000002</c:v>
                </c:pt>
                <c:pt idx="4">
                  <c:v>-3.80314</c:v>
                </c:pt>
                <c:pt idx="5">
                  <c:v>-3.8032499999999998</c:v>
                </c:pt>
                <c:pt idx="6">
                  <c:v>-3.8030499999999998</c:v>
                </c:pt>
                <c:pt idx="7">
                  <c:v>-3.8037800000000002</c:v>
                </c:pt>
                <c:pt idx="8">
                  <c:v>-3.8037200000000002</c:v>
                </c:pt>
                <c:pt idx="9">
                  <c:v>-3.8037200000000002</c:v>
                </c:pt>
                <c:pt idx="10">
                  <c:v>-3.8036599999999998</c:v>
                </c:pt>
                <c:pt idx="11">
                  <c:v>-3.80314</c:v>
                </c:pt>
                <c:pt idx="12">
                  <c:v>-3.8031100000000002</c:v>
                </c:pt>
                <c:pt idx="13">
                  <c:v>-3.80315</c:v>
                </c:pt>
                <c:pt idx="14">
                  <c:v>-3.8030499999999998</c:v>
                </c:pt>
                <c:pt idx="15">
                  <c:v>-3.8037000000000001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9-46EC-9433-661DD6B07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440376"/>
        <c:axId val="358440704"/>
      </c:barChart>
      <c:catAx>
        <c:axId val="358440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704"/>
        <c:crosses val="autoZero"/>
        <c:auto val="1"/>
        <c:lblAlgn val="ctr"/>
        <c:lblOffset val="100"/>
        <c:noMultiLvlLbl val="0"/>
      </c:catAx>
      <c:valAx>
        <c:axId val="358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31883514560675E-2"/>
          <c:y val="0.12110157872057038"/>
          <c:w val="0.90263188530005178"/>
          <c:h val="0.86328358208955225"/>
        </c:manualLayout>
      </c:layout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C-4F51-B5CD-41D83B5A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982872"/>
        <c:axId val="537977624"/>
      </c:lineChart>
      <c:catAx>
        <c:axId val="53798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77624"/>
        <c:crosses val="autoZero"/>
        <c:auto val="1"/>
        <c:lblAlgn val="ctr"/>
        <c:lblOffset val="100"/>
        <c:noMultiLvlLbl val="0"/>
      </c:catAx>
      <c:valAx>
        <c:axId val="537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F4E-AFE4-3091FD50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05928"/>
        <c:axId val="571893608"/>
      </c:lineChart>
      <c:catAx>
        <c:axId val="57660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93608"/>
        <c:crosses val="autoZero"/>
        <c:auto val="1"/>
        <c:lblAlgn val="ctr"/>
        <c:lblOffset val="100"/>
        <c:noMultiLvlLbl val="0"/>
      </c:catAx>
      <c:valAx>
        <c:axId val="5718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488A-94B3-7229FDF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6608"/>
        <c:axId val="358452512"/>
      </c:lineChart>
      <c:catAx>
        <c:axId val="3584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2512"/>
        <c:crosses val="autoZero"/>
        <c:auto val="1"/>
        <c:lblAlgn val="ctr"/>
        <c:lblOffset val="100"/>
        <c:noMultiLvlLbl val="0"/>
      </c:catAx>
      <c:valAx>
        <c:axId val="3584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LS15</a:t>
            </a:r>
            <a:r>
              <a:rPr lang="en-US" baseline="0"/>
              <a:t> vs DNA03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7F8-AAA2-F6991DD9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81576"/>
        <c:axId val="585588792"/>
      </c:lineChart>
      <c:catAx>
        <c:axId val="58558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8792"/>
        <c:crosses val="autoZero"/>
        <c:auto val="1"/>
        <c:lblAlgn val="ctr"/>
        <c:lblOffset val="100"/>
        <c:noMultiLvlLbl val="0"/>
      </c:catAx>
      <c:valAx>
        <c:axId val="5855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311850955898"/>
          <c:y val="0.11236916547512851"/>
          <c:w val="0.82729508935266005"/>
          <c:h val="0.8414833333030528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4374601424000808E-2"/>
                  <c:y val="-0.257611288021401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Analysis!$L$2:$L$20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Analysis!$N$2:$N$20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-1.5549999999953101E-4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3-4D93-80BE-C420ACE75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5128"/>
        <c:axId val="755574472"/>
      </c:scatterChart>
      <c:valAx>
        <c:axId val="75557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472"/>
        <c:crosses val="autoZero"/>
        <c:crossBetween val="midCat"/>
      </c:valAx>
      <c:valAx>
        <c:axId val="7555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51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Analysis!$C$2:$C$28</c:f>
              <c:numCache>
                <c:formatCode>mmm\-yyyy</c:formatCode>
                <c:ptCount val="27"/>
                <c:pt idx="0">
                  <c:v>43809</c:v>
                </c:pt>
                <c:pt idx="1">
                  <c:v>43790</c:v>
                </c:pt>
                <c:pt idx="2">
                  <c:v>43762</c:v>
                </c:pt>
                <c:pt idx="3">
                  <c:v>43719</c:v>
                </c:pt>
                <c:pt idx="4">
                  <c:v>43678</c:v>
                </c:pt>
                <c:pt idx="5">
                  <c:v>43647</c:v>
                </c:pt>
                <c:pt idx="6">
                  <c:v>43587</c:v>
                </c:pt>
                <c:pt idx="7">
                  <c:v>43536</c:v>
                </c:pt>
                <c:pt idx="8">
                  <c:v>43508</c:v>
                </c:pt>
                <c:pt idx="9">
                  <c:v>43474</c:v>
                </c:pt>
                <c:pt idx="10">
                  <c:v>43440</c:v>
                </c:pt>
                <c:pt idx="11">
                  <c:v>43384</c:v>
                </c:pt>
                <c:pt idx="12">
                  <c:v>43342</c:v>
                </c:pt>
                <c:pt idx="13">
                  <c:v>43265</c:v>
                </c:pt>
                <c:pt idx="14">
                  <c:v>43220</c:v>
                </c:pt>
                <c:pt idx="15">
                  <c:v>43186</c:v>
                </c:pt>
                <c:pt idx="16">
                  <c:v>43158</c:v>
                </c:pt>
                <c:pt idx="17">
                  <c:v>43157</c:v>
                </c:pt>
                <c:pt idx="18">
                  <c:v>43111</c:v>
                </c:pt>
                <c:pt idx="19">
                  <c:v>43027</c:v>
                </c:pt>
                <c:pt idx="20">
                  <c:v>42054</c:v>
                </c:pt>
                <c:pt idx="21">
                  <c:v>41422</c:v>
                </c:pt>
                <c:pt idx="22">
                  <c:v>40595</c:v>
                </c:pt>
                <c:pt idx="23">
                  <c:v>39841</c:v>
                </c:pt>
                <c:pt idx="24">
                  <c:v>39288</c:v>
                </c:pt>
                <c:pt idx="25">
                  <c:v>37427</c:v>
                </c:pt>
                <c:pt idx="26">
                  <c:v>37350</c:v>
                </c:pt>
              </c:numCache>
            </c:numRef>
          </c:xVal>
          <c:yVal>
            <c:numRef>
              <c:f>Analysis!$H$2:$H$28</c:f>
              <c:numCache>
                <c:formatCode>0.00000</c:formatCode>
                <c:ptCount val="27"/>
                <c:pt idx="0">
                  <c:v>2.3037037037010322E-4</c:v>
                </c:pt>
                <c:pt idx="1">
                  <c:v>1.5037037037002321E-4</c:v>
                </c:pt>
                <c:pt idx="2">
                  <c:v>-1.1962962962996926E-4</c:v>
                </c:pt>
                <c:pt idx="3">
                  <c:v>-2.4962962962993274E-4</c:v>
                </c:pt>
                <c:pt idx="4">
                  <c:v>-5.2962962962999072E-4</c:v>
                </c:pt>
                <c:pt idx="5">
                  <c:v>-1.6962962962985273E-4</c:v>
                </c:pt>
                <c:pt idx="6">
                  <c:v>-4.7962962962966316E-4</c:v>
                </c:pt>
                <c:pt idx="7">
                  <c:v>2.903703703700522E-4</c:v>
                </c:pt>
                <c:pt idx="8">
                  <c:v>4.0037037037032874E-4</c:v>
                </c:pt>
                <c:pt idx="9">
                  <c:v>2.4037037037016873E-4</c:v>
                </c:pt>
                <c:pt idx="10">
                  <c:v>2.5037037037023424E-4</c:v>
                </c:pt>
                <c:pt idx="11">
                  <c:v>-2.196296296297362E-4</c:v>
                </c:pt>
                <c:pt idx="12">
                  <c:v>-4.396296296298452E-4</c:v>
                </c:pt>
                <c:pt idx="13">
                  <c:v>-4.1962962962971417E-4</c:v>
                </c:pt>
                <c:pt idx="14">
                  <c:v>-5.9629629629576186E-5</c:v>
                </c:pt>
                <c:pt idx="15">
                  <c:v>1.6037037037008872E-4</c:v>
                </c:pt>
                <c:pt idx="16">
                  <c:v>3.0037037037011771E-4</c:v>
                </c:pt>
                <c:pt idx="17">
                  <c:v>3.7037037037013221E-4</c:v>
                </c:pt>
                <c:pt idx="18">
                  <c:v>3.1037037037018322E-4</c:v>
                </c:pt>
                <c:pt idx="19">
                  <c:v>-2.9962962962981621E-4</c:v>
                </c:pt>
                <c:pt idx="20">
                  <c:v>3.4037037037037976E-4</c:v>
                </c:pt>
                <c:pt idx="21">
                  <c:v>-3.1962962962994723E-4</c:v>
                </c:pt>
                <c:pt idx="22">
                  <c:v>2.6037037037029975E-4</c:v>
                </c:pt>
                <c:pt idx="23">
                  <c:v>4.5037037037021221E-4</c:v>
                </c:pt>
                <c:pt idx="24">
                  <c:v>-4.6962962962959764E-4</c:v>
                </c:pt>
                <c:pt idx="25">
                  <c:v>-4.396296296298452E-4</c:v>
                </c:pt>
                <c:pt idx="26">
                  <c:v>4.6037037037027773E-4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6-4733-94E6-46515D8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44672"/>
        <c:axId val="423245328"/>
      </c:scatterChart>
      <c:valAx>
        <c:axId val="4232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5328"/>
        <c:crosses val="autoZero"/>
        <c:crossBetween val="midCat"/>
      </c:valAx>
      <c:valAx>
        <c:axId val="423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Catogorize Data by</a:t>
            </a:r>
            <a:r>
              <a:rPr lang="en-AU" baseline="0"/>
              <a:t> Month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Analysis!$B$35:$M$35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Analysis!$B$46:$M$46</c:f>
              <c:numCache>
                <c:formatCode>0.00000</c:formatCode>
                <c:ptCount val="12"/>
                <c:pt idx="0">
                  <c:v>3.8037733333333335</c:v>
                </c:pt>
                <c:pt idx="1">
                  <c:v>3.8037739999999998</c:v>
                </c:pt>
                <c:pt idx="2">
                  <c:v>3.8036649999999996</c:v>
                </c:pt>
                <c:pt idx="3">
                  <c:v>3.8036400000000001</c:v>
                </c:pt>
                <c:pt idx="4">
                  <c:v>3.8030400000000002</c:v>
                </c:pt>
                <c:pt idx="5">
                  <c:v>3.80301</c:v>
                </c:pt>
                <c:pt idx="6">
                  <c:v>3.8031199999999998</c:v>
                </c:pt>
                <c:pt idx="7">
                  <c:v>3.8029549999999999</c:v>
                </c:pt>
                <c:pt idx="8">
                  <c:v>3.8031899999999998</c:v>
                </c:pt>
                <c:pt idx="9">
                  <c:v>3.8032266666666668</c:v>
                </c:pt>
                <c:pt idx="10">
                  <c:v>3.8035899999999998</c:v>
                </c:pt>
                <c:pt idx="11">
                  <c:v>3.8036799999999999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D-49E6-AC33-F43D2068C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25000"/>
        <c:axId val="799122704"/>
      </c:scatterChart>
      <c:valAx>
        <c:axId val="7991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2704"/>
        <c:crosses val="autoZero"/>
        <c:crossBetween val="midCat"/>
      </c:valAx>
      <c:valAx>
        <c:axId val="7991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Categorize Data by month (Current-M3)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Analysis!$B$48:$M$48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Analysis!$B$59:$M$59</c:f>
              <c:numCache>
                <c:formatCode>0.00000</c:formatCode>
                <c:ptCount val="12"/>
                <c:pt idx="0">
                  <c:v>8.0333333333311907E-4</c:v>
                </c:pt>
                <c:pt idx="1">
                  <c:v>8.0399999999984932E-4</c:v>
                </c:pt>
                <c:pt idx="2">
                  <c:v>6.9499999999966811E-4</c:v>
                </c:pt>
                <c:pt idx="3">
                  <c:v>6.6999999999994841E-4</c:v>
                </c:pt>
                <c:pt idx="4">
                  <c:v>6.999999999979245E-5</c:v>
                </c:pt>
                <c:pt idx="5">
                  <c:v>3.9999999999817959E-5</c:v>
                </c:pt>
                <c:pt idx="6">
                  <c:v>1.4999999999987246E-4</c:v>
                </c:pt>
                <c:pt idx="7">
                  <c:v>-1.5000000000320313E-5</c:v>
                </c:pt>
                <c:pt idx="8">
                  <c:v>2.1999999999966491E-4</c:v>
                </c:pt>
                <c:pt idx="9">
                  <c:v>2.5666666666642374E-4</c:v>
                </c:pt>
                <c:pt idx="10">
                  <c:v>6.1999999999962085E-4</c:v>
                </c:pt>
                <c:pt idx="11">
                  <c:v>7.0999999999976637E-4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2-40D0-BB1E-9F0E2563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73088"/>
        <c:axId val="808270136"/>
      </c:scatterChart>
      <c:valAx>
        <c:axId val="80827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0136"/>
        <c:crosses val="autoZero"/>
        <c:crossBetween val="midCat"/>
      </c:valAx>
      <c:valAx>
        <c:axId val="8082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Categorize Data by month (Current-Average)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Analysis!$A$72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4169478182534176"/>
                  <c:y val="-0.187721569417646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Analysis!$B$72:$M$72</c:f>
              <c:numCache>
                <c:formatCode>0.00000</c:formatCode>
                <c:ptCount val="12"/>
                <c:pt idx="0">
                  <c:v>3.3370370370352137E-4</c:v>
                </c:pt>
                <c:pt idx="1">
                  <c:v>3.3437037037025162E-4</c:v>
                </c:pt>
                <c:pt idx="2">
                  <c:v>2.2537037037007046E-4</c:v>
                </c:pt>
                <c:pt idx="3">
                  <c:v>2.0037037037035077E-4</c:v>
                </c:pt>
                <c:pt idx="4">
                  <c:v>-3.9962962962980519E-4</c:v>
                </c:pt>
                <c:pt idx="5">
                  <c:v>-4.2962962962977969E-4</c:v>
                </c:pt>
                <c:pt idx="6">
                  <c:v>-3.1962962962972519E-4</c:v>
                </c:pt>
                <c:pt idx="7">
                  <c:v>-4.8462962962991796E-4</c:v>
                </c:pt>
                <c:pt idx="8">
                  <c:v>-2.4962962962993274E-4</c:v>
                </c:pt>
                <c:pt idx="9">
                  <c:v>-2.1296296296317388E-4</c:v>
                </c:pt>
                <c:pt idx="10">
                  <c:v>1.5037037037002321E-4</c:v>
                </c:pt>
                <c:pt idx="11">
                  <c:v>2.4037037037016873E-4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D-4914-8A82-A97274B1BCE4}"/>
            </c:ext>
          </c:extLst>
        </c:ser>
        <c:ser>
          <c:idx val="1"/>
          <c:order val="1"/>
          <c:tx>
            <c:strRef>
              <c:f>Analysis!$A$62</c:f>
              <c:strCache>
                <c:ptCount val="1"/>
                <c:pt idx="0">
                  <c:v>year 2019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Analysis!$B$62:$M$62</c:f>
              <c:numCache>
                <c:formatCode>0.00000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6">
                  <c:v>-1.6962962962985273E-4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D-4914-8A82-A97274B1BCE4}"/>
            </c:ext>
          </c:extLst>
        </c:ser>
        <c:ser>
          <c:idx val="2"/>
          <c:order val="2"/>
          <c:tx>
            <c:strRef>
              <c:f>Analysis!$A$63</c:f>
              <c:strCache>
                <c:ptCount val="1"/>
                <c:pt idx="0">
                  <c:v>year 2018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Analysis!$B$63:$M$63</c:f>
              <c:numCache>
                <c:formatCode>0.00000</c:formatCode>
                <c:ptCount val="12"/>
                <c:pt idx="0">
                  <c:v>3.1037037037018322E-4</c:v>
                </c:pt>
                <c:pt idx="1">
                  <c:v>3.7037037037013221E-4</c:v>
                </c:pt>
                <c:pt idx="2">
                  <c:v>1.6037037037008872E-4</c:v>
                </c:pt>
                <c:pt idx="3">
                  <c:v>-5.9629629629576186E-5</c:v>
                </c:pt>
                <c:pt idx="5">
                  <c:v>-4.1962962962971417E-4</c:v>
                </c:pt>
                <c:pt idx="7">
                  <c:v>-4.396296296298452E-4</c:v>
                </c:pt>
                <c:pt idx="9">
                  <c:v>-2.196296296297362E-4</c:v>
                </c:pt>
                <c:pt idx="11">
                  <c:v>2.5037037037023424E-4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D-4914-8A82-A97274B1BCE4}"/>
            </c:ext>
          </c:extLst>
        </c:ser>
        <c:ser>
          <c:idx val="3"/>
          <c:order val="3"/>
          <c:tx>
            <c:strRef>
              <c:f>Analysis!$A$65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Analysis!$K$65</c:f>
              <c:numCache>
                <c:formatCode>0.00000</c:formatCode>
                <c:ptCount val="1"/>
                <c:pt idx="0">
                  <c:v>-2.9962962962981621E-4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D-4914-8A82-A97274B1BCE4}"/>
            </c:ext>
          </c:extLst>
        </c:ser>
        <c:ser>
          <c:idx val="4"/>
          <c:order val="4"/>
          <c:tx>
            <c:strRef>
              <c:f>Analysis!$A$67</c:f>
              <c:strCache>
                <c:ptCount val="1"/>
                <c:pt idx="0">
                  <c:v>year 2013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Analysis!$F$67</c:f>
              <c:numCache>
                <c:formatCode>0.00000</c:formatCode>
                <c:ptCount val="1"/>
                <c:pt idx="0">
                  <c:v>-3.1962962962994723E-4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8D-4914-8A82-A97274B1BCE4}"/>
            </c:ext>
          </c:extLst>
        </c:ser>
        <c:ser>
          <c:idx val="5"/>
          <c:order val="5"/>
          <c:tx>
            <c:strRef>
              <c:f>Analysis!$A$68</c:f>
              <c:strCache>
                <c:ptCount val="1"/>
                <c:pt idx="0">
                  <c:v>year 2011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Analysis!$C$68</c:f>
              <c:numCache>
                <c:formatCode>0.00000</c:formatCode>
                <c:ptCount val="1"/>
                <c:pt idx="0">
                  <c:v>2.6037037037029975E-4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8D-4914-8A82-A97274B1BCE4}"/>
            </c:ext>
          </c:extLst>
        </c:ser>
        <c:ser>
          <c:idx val="6"/>
          <c:order val="6"/>
          <c:tx>
            <c:strRef>
              <c:f>Analysis!$A$69</c:f>
              <c:strCache>
                <c:ptCount val="1"/>
                <c:pt idx="0">
                  <c:v>year 2009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Analysis!$B$69</c:f>
              <c:numCache>
                <c:formatCode>0.00000</c:formatCode>
                <c:ptCount val="1"/>
                <c:pt idx="0">
                  <c:v>4.5037037037021221E-4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8D-4914-8A82-A97274B1BCE4}"/>
            </c:ext>
          </c:extLst>
        </c:ser>
        <c:ser>
          <c:idx val="7"/>
          <c:order val="7"/>
          <c:tx>
            <c:strRef>
              <c:f>Analysis!$A$70</c:f>
              <c:strCache>
                <c:ptCount val="1"/>
                <c:pt idx="0">
                  <c:v>year 2007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Analysis!$H$70</c:f>
              <c:numCache>
                <c:formatCode>0.00000</c:formatCode>
                <c:ptCount val="1"/>
                <c:pt idx="0">
                  <c:v>-4.6962962962959764E-4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8D-4914-8A82-A97274B1BCE4}"/>
            </c:ext>
          </c:extLst>
        </c:ser>
        <c:ser>
          <c:idx val="8"/>
          <c:order val="8"/>
          <c:tx>
            <c:strRef>
              <c:f>Analysis!$A$71</c:f>
              <c:strCache>
                <c:ptCount val="1"/>
                <c:pt idx="0">
                  <c:v>year 2002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Analysis!$B$71:$M$71</c:f>
              <c:numCache>
                <c:formatCode>General</c:formatCode>
                <c:ptCount val="12"/>
                <c:pt idx="3" formatCode="0.00000">
                  <c:v>4.6037037037027773E-4</c:v>
                </c:pt>
                <c:pt idx="5" formatCode="0.00000">
                  <c:v>-4.396296296298452E-4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8D-4914-8A82-A97274B1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63368"/>
        <c:axId val="805764352"/>
      </c:scatterChart>
      <c:valAx>
        <c:axId val="80576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4352"/>
        <c:crosses val="autoZero"/>
        <c:crossBetween val="midCat"/>
      </c:valAx>
      <c:valAx>
        <c:axId val="8057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2891673774812"/>
          <c:y val="1.4775220924025858E-2"/>
          <c:w val="0.82466929940642453"/>
          <c:h val="0.94081862624653678"/>
        </c:manualLayout>
      </c:layout>
      <c:scatterChart>
        <c:scatterStyle val="lineMarker"/>
        <c:varyColors val="0"/>
        <c:ser>
          <c:idx val="1"/>
          <c:order val="1"/>
          <c:tx>
            <c:strRef>
              <c:f>Analysis!$A$75</c:f>
              <c:strCache>
                <c:ptCount val="1"/>
                <c:pt idx="0">
                  <c:v>year 2019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Analysis!$B$74:$M$74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Analysis!$B$75:$M$75</c:f>
              <c:numCache>
                <c:formatCode>General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6-4AA0-8D29-CBE1AF90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725400"/>
        <c:axId val="8267293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Average of 2 years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4"/>
                  <c:dispRSqr val="1"/>
                  <c:dispEq val="1"/>
                  <c:trendlineLbl>
                    <c:layout>
                      <c:manualLayout>
                        <c:x val="6.6328352179596539E-2"/>
                        <c:y val="-0.18101091275725045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strRef>
                    <c:extLst>
                      <c:ext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Analysis!$B$78:$M$78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3.3370370370352137E-4</c:v>
                      </c:pt>
                      <c:pt idx="1">
                        <c:v>3.3437037037025162E-4</c:v>
                      </c:pt>
                      <c:pt idx="2">
                        <c:v>2.2537037037007046E-4</c:v>
                      </c:pt>
                      <c:pt idx="3">
                        <c:v>2.0037037037035077E-4</c:v>
                      </c:pt>
                      <c:pt idx="4">
                        <c:v>-3.9962962962980519E-4</c:v>
                      </c:pt>
                      <c:pt idx="5">
                        <c:v>-4.2962962962977969E-4</c:v>
                      </c:pt>
                      <c:pt idx="6">
                        <c:v>-3.1962962962972519E-4</c:v>
                      </c:pt>
                      <c:pt idx="7">
                        <c:v>-4.8462962962991796E-4</c:v>
                      </c:pt>
                      <c:pt idx="8">
                        <c:v>-2.4962962962993274E-4</c:v>
                      </c:pt>
                      <c:pt idx="9">
                        <c:v>-2.1296296296317388E-4</c:v>
                      </c:pt>
                      <c:pt idx="10">
                        <c:v>1.5037037037002321E-4</c:v>
                      </c:pt>
                      <c:pt idx="11">
                        <c:v>2.4037037037016873E-4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7B6-4AA0-8D29-CBE1AF90A40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Analysis!$A$76</c15:sqref>
                        </c15:formulaRef>
                      </c:ext>
                    </c:extLst>
                    <c:strCache>
                      <c:ptCount val="1"/>
                      <c:pt idx="0">
                        <c:v>year 2018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Analysis!$B$76:$M$76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3.1037037037018322E-4</c:v>
                      </c:pt>
                      <c:pt idx="1">
                        <c:v>3.7037037037013221E-4</c:v>
                      </c:pt>
                      <c:pt idx="2">
                        <c:v>1.6037037037008872E-4</c:v>
                      </c:pt>
                      <c:pt idx="3">
                        <c:v>-5.9629629629576186E-5</c:v>
                      </c:pt>
                      <c:pt idx="5">
                        <c:v>-4.1962962962971417E-4</c:v>
                      </c:pt>
                      <c:pt idx="7">
                        <c:v>-4.396296296298452E-4</c:v>
                      </c:pt>
                      <c:pt idx="9">
                        <c:v>-2.196296296297362E-4</c:v>
                      </c:pt>
                      <c:pt idx="11">
                        <c:v>2.5037037037023424E-4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7B6-4AA0-8D29-CBE1AF90A405}"/>
                  </c:ext>
                </c:extLst>
              </c15:ser>
            </c15:filteredScatterSeries>
          </c:ext>
        </c:extLst>
      </c:scatterChart>
      <c:valAx>
        <c:axId val="82672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9336"/>
        <c:crosses val="autoZero"/>
        <c:crossBetween val="midCat"/>
      </c:valAx>
      <c:valAx>
        <c:axId val="8267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over 2 years (Jul2019 replaced with Jul2007)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5142394157252083E-2"/>
                  <c:y val="-0.18459947020866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Analysis!$R$2:$R$20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-4.6962962962959764E-4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2-467E-9FC4-37BA3757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76880"/>
        <c:axId val="420979504"/>
      </c:scatterChart>
      <c:valAx>
        <c:axId val="42097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9504"/>
        <c:crosses val="autoZero"/>
        <c:crossBetween val="midCat"/>
      </c:valAx>
      <c:valAx>
        <c:axId val="4209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Trend Line over 2 years (Jul2019 replaced with Jul2007</a:t>
            </a:r>
            <a:endParaRPr lang="en-AU"/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3.8036699999999999</c:v>
                </c:pt>
                <c:pt idx="1">
                  <c:v>3.8035899999999998</c:v>
                </c:pt>
                <c:pt idx="2">
                  <c:v>3.8033199999999998</c:v>
                </c:pt>
                <c:pt idx="3">
                  <c:v>3.8031899999999998</c:v>
                </c:pt>
                <c:pt idx="4">
                  <c:v>3.8029099999999998</c:v>
                </c:pt>
                <c:pt idx="5" formatCode="0.00000">
                  <c:v>3.8029700000000002</c:v>
                </c:pt>
                <c:pt idx="6">
                  <c:v>3.8029600000000001</c:v>
                </c:pt>
                <c:pt idx="7">
                  <c:v>3.8037299999999998</c:v>
                </c:pt>
                <c:pt idx="8">
                  <c:v>3.8038400000000001</c:v>
                </c:pt>
                <c:pt idx="9">
                  <c:v>3.8036799999999999</c:v>
                </c:pt>
                <c:pt idx="10">
                  <c:v>3.80369</c:v>
                </c:pt>
                <c:pt idx="11">
                  <c:v>3.80322</c:v>
                </c:pt>
                <c:pt idx="12">
                  <c:v>3.8029999999999999</c:v>
                </c:pt>
                <c:pt idx="13">
                  <c:v>3.8030200000000001</c:v>
                </c:pt>
                <c:pt idx="14">
                  <c:v>3.8033800000000002</c:v>
                </c:pt>
                <c:pt idx="15">
                  <c:v>3.8035999999999999</c:v>
                </c:pt>
                <c:pt idx="16">
                  <c:v>3.8037399999999999</c:v>
                </c:pt>
                <c:pt idx="17">
                  <c:v>3.8038099999999999</c:v>
                </c:pt>
                <c:pt idx="18">
                  <c:v>3.80375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D-4069-B808-4269E8B2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50720"/>
        <c:axId val="406549736"/>
      </c:scatterChart>
      <c:valAx>
        <c:axId val="4065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9736"/>
        <c:crosses val="autoZero"/>
        <c:crossBetween val="midCat"/>
      </c:valAx>
      <c:valAx>
        <c:axId val="4065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5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F-449A-B3EC-FBA8B007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max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Temp'!$E$2:$E$19</c:f>
              <c:numCache>
                <c:formatCode>General</c:formatCode>
                <c:ptCount val="18"/>
                <c:pt idx="0">
                  <c:v>24.4</c:v>
                </c:pt>
                <c:pt idx="1">
                  <c:v>24.3</c:v>
                </c:pt>
                <c:pt idx="2">
                  <c:v>24.9</c:v>
                </c:pt>
                <c:pt idx="3">
                  <c:v>25.2</c:v>
                </c:pt>
                <c:pt idx="4">
                  <c:v>30.5</c:v>
                </c:pt>
                <c:pt idx="5">
                  <c:v>20.5</c:v>
                </c:pt>
                <c:pt idx="6">
                  <c:v>17.2</c:v>
                </c:pt>
                <c:pt idx="7">
                  <c:v>24.2</c:v>
                </c:pt>
                <c:pt idx="8">
                  <c:v>22.8</c:v>
                </c:pt>
                <c:pt idx="9">
                  <c:v>31.5</c:v>
                </c:pt>
                <c:pt idx="10">
                  <c:v>28.9</c:v>
                </c:pt>
                <c:pt idx="11">
                  <c:v>32</c:v>
                </c:pt>
                <c:pt idx="12">
                  <c:v>19.899999999999999</c:v>
                </c:pt>
                <c:pt idx="13">
                  <c:v>19.2</c:v>
                </c:pt>
                <c:pt idx="14">
                  <c:v>20.9</c:v>
                </c:pt>
                <c:pt idx="15">
                  <c:v>23.4</c:v>
                </c:pt>
                <c:pt idx="16">
                  <c:v>21.3</c:v>
                </c:pt>
                <c:pt idx="17">
                  <c:v>24.2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1-4998-8297-C38A5801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399440"/>
        <c:axId val="816401408"/>
      </c:scatterChart>
      <c:valAx>
        <c:axId val="81639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401408"/>
        <c:crosses val="autoZero"/>
        <c:crossBetween val="midCat"/>
      </c:valAx>
      <c:valAx>
        <c:axId val="8164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</a:t>
            </a:r>
            <a:r>
              <a:rPr lang="en-AU" baseline="0"/>
              <a:t> Average (Max Temp) Temperature</a:t>
            </a:r>
            <a:endParaRPr lang="en-AU"/>
          </a:p>
        </c:rich>
      </c:tx>
      <c:overlay val="0"/>
      <c:spPr>
        <a:noFill/>
        <a:ln w="19050"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Temp'!$F$2:$F$19</c:f>
              <c:numCache>
                <c:formatCode>0.0</c:formatCode>
                <c:ptCount val="18"/>
                <c:pt idx="0">
                  <c:v>31.664516129032261</c:v>
                </c:pt>
                <c:pt idx="1">
                  <c:v>28</c:v>
                </c:pt>
                <c:pt idx="2">
                  <c:v>28</c:v>
                </c:pt>
                <c:pt idx="3">
                  <c:v>30.102941176470594</c:v>
                </c:pt>
                <c:pt idx="4">
                  <c:v>26.500000000000004</c:v>
                </c:pt>
                <c:pt idx="5">
                  <c:v>19.31666666666667</c:v>
                </c:pt>
                <c:pt idx="6">
                  <c:v>18.461290322580645</c:v>
                </c:pt>
                <c:pt idx="7">
                  <c:v>23.754838709677419</c:v>
                </c:pt>
                <c:pt idx="8">
                  <c:v>30.299999999999997</c:v>
                </c:pt>
                <c:pt idx="9">
                  <c:v>31.332258064516132</c:v>
                </c:pt>
                <c:pt idx="10">
                  <c:v>28</c:v>
                </c:pt>
                <c:pt idx="11">
                  <c:v>31.176470588235293</c:v>
                </c:pt>
                <c:pt idx="12">
                  <c:v>22.5</c:v>
                </c:pt>
                <c:pt idx="13">
                  <c:v>19.293548387096777</c:v>
                </c:pt>
                <c:pt idx="14">
                  <c:v>20.229032258064514</c:v>
                </c:pt>
                <c:pt idx="15">
                  <c:v>23.103333333333332</c:v>
                </c:pt>
                <c:pt idx="16">
                  <c:v>24.709677419354836</c:v>
                </c:pt>
                <c:pt idx="17">
                  <c:v>29.843333333333337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93B-9BEF-CFA14C408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23184"/>
        <c:axId val="419120560"/>
      </c:scatterChart>
      <c:valAx>
        <c:axId val="4191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0560"/>
        <c:crosses val="autoZero"/>
        <c:crossBetween val="midCat"/>
      </c:valAx>
      <c:valAx>
        <c:axId val="4191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Temp on Observation</a:t>
            </a:r>
            <a:r>
              <a:rPr lang="en-AU" baseline="0"/>
              <a:t> Day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Temp'!$B$31:$B$49</c:f>
              <c:numCache>
                <c:formatCode>mmm\-yyyy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Temp'!$J$31:$J$49</c:f>
              <c:numCache>
                <c:formatCode>##\°\C</c:formatCode>
                <c:ptCount val="19"/>
                <c:pt idx="0">
                  <c:v>23</c:v>
                </c:pt>
                <c:pt idx="1">
                  <c:v>24.75</c:v>
                </c:pt>
                <c:pt idx="2">
                  <c:v>24.75</c:v>
                </c:pt>
                <c:pt idx="3">
                  <c:v>21.1</c:v>
                </c:pt>
                <c:pt idx="4">
                  <c:v>29.9</c:v>
                </c:pt>
                <c:pt idx="5">
                  <c:v>17.05</c:v>
                </c:pt>
                <c:pt idx="6">
                  <c:v>16.75</c:v>
                </c:pt>
                <c:pt idx="7">
                  <c:v>23</c:v>
                </c:pt>
                <c:pt idx="8">
                  <c:v>19.024999999999999</c:v>
                </c:pt>
                <c:pt idx="9">
                  <c:v>28.9</c:v>
                </c:pt>
                <c:pt idx="10">
                  <c:v>23</c:v>
                </c:pt>
                <c:pt idx="11">
                  <c:v>27.975000000000001</c:v>
                </c:pt>
                <c:pt idx="12">
                  <c:v>16.924999999999997</c:v>
                </c:pt>
                <c:pt idx="13">
                  <c:v>17.8</c:v>
                </c:pt>
                <c:pt idx="14">
                  <c:v>15.775000000000002</c:v>
                </c:pt>
                <c:pt idx="15">
                  <c:v>19.524999999999999</c:v>
                </c:pt>
                <c:pt idx="16">
                  <c:v>19.175000000000001</c:v>
                </c:pt>
                <c:pt idx="17">
                  <c:v>20.975000000000001</c:v>
                </c:pt>
                <c:pt idx="18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B8-476F-A381-C0AC4752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56416"/>
        <c:axId val="730657400"/>
      </c:scatterChart>
      <c:valAx>
        <c:axId val="73065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7400"/>
        <c:crosses val="autoZero"/>
        <c:crossBetween val="midCat"/>
      </c:valAx>
      <c:valAx>
        <c:axId val="7306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 Ave.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Temp'!$H$57:$H$75</c:f>
              <c:numCache>
                <c:formatCode>0.0</c:formatCode>
                <c:ptCount val="19"/>
                <c:pt idx="0">
                  <c:v>24.491935483870968</c:v>
                </c:pt>
                <c:pt idx="1">
                  <c:v>24.232142857142854</c:v>
                </c:pt>
                <c:pt idx="2">
                  <c:v>24.232142857142854</c:v>
                </c:pt>
                <c:pt idx="3">
                  <c:v>23.788709677419355</c:v>
                </c:pt>
                <c:pt idx="4">
                  <c:v>19.845000000000002</c:v>
                </c:pt>
                <c:pt idx="5">
                  <c:v>14.11166666666667</c:v>
                </c:pt>
                <c:pt idx="6">
                  <c:v>13.151612903225805</c:v>
                </c:pt>
                <c:pt idx="7">
                  <c:v>18.179032258064513</c:v>
                </c:pt>
                <c:pt idx="8">
                  <c:v>22.732258064516131</c:v>
                </c:pt>
                <c:pt idx="9">
                  <c:v>23.541935483870969</c:v>
                </c:pt>
                <c:pt idx="10">
                  <c:v>24.800000000000004</c:v>
                </c:pt>
                <c:pt idx="11">
                  <c:v>24.090322580645168</c:v>
                </c:pt>
                <c:pt idx="12">
                  <c:v>15.272580645161288</c:v>
                </c:pt>
                <c:pt idx="13">
                  <c:v>13.835483870967741</c:v>
                </c:pt>
                <c:pt idx="14">
                  <c:v>14.008064516129027</c:v>
                </c:pt>
                <c:pt idx="15">
                  <c:v>16.063333333333333</c:v>
                </c:pt>
                <c:pt idx="16">
                  <c:v>17.667741935483868</c:v>
                </c:pt>
                <c:pt idx="17">
                  <c:v>21.918333333333333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2-4063-BF6E-D86E105C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19800"/>
        <c:axId val="860215536"/>
      </c:scatterChart>
      <c:valAx>
        <c:axId val="8602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5536"/>
        <c:crosses val="autoZero"/>
        <c:crossBetween val="midCat"/>
      </c:valAx>
      <c:valAx>
        <c:axId val="8602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Ave. Temp on Obs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Temp'!$G$57:$G$75</c:f>
              <c:numCache>
                <c:formatCode>0.0</c:formatCode>
                <c:ptCount val="19"/>
                <c:pt idx="0">
                  <c:v>20.75</c:v>
                </c:pt>
                <c:pt idx="1">
                  <c:v>22.25</c:v>
                </c:pt>
                <c:pt idx="2">
                  <c:v>19.850000000000001</c:v>
                </c:pt>
                <c:pt idx="3">
                  <c:v>20.6</c:v>
                </c:pt>
                <c:pt idx="4">
                  <c:v>22.65</c:v>
                </c:pt>
                <c:pt idx="5">
                  <c:v>13.75</c:v>
                </c:pt>
                <c:pt idx="6">
                  <c:v>11.95</c:v>
                </c:pt>
                <c:pt idx="7">
                  <c:v>19</c:v>
                </c:pt>
                <c:pt idx="8">
                  <c:v>17.899999999999999</c:v>
                </c:pt>
                <c:pt idx="9">
                  <c:v>25</c:v>
                </c:pt>
                <c:pt idx="10">
                  <c:v>21.75</c:v>
                </c:pt>
                <c:pt idx="11">
                  <c:v>24.85</c:v>
                </c:pt>
                <c:pt idx="12">
                  <c:v>12.35</c:v>
                </c:pt>
                <c:pt idx="13">
                  <c:v>15.649999999999999</c:v>
                </c:pt>
                <c:pt idx="14">
                  <c:v>14.7</c:v>
                </c:pt>
                <c:pt idx="15">
                  <c:v>18.149999999999999</c:v>
                </c:pt>
                <c:pt idx="16">
                  <c:v>15.9</c:v>
                </c:pt>
                <c:pt idx="17">
                  <c:v>14.95</c:v>
                </c:pt>
                <c:pt idx="18">
                  <c:v>25.15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0-499C-9C95-33AD0707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437168"/>
        <c:axId val="832113616"/>
      </c:scatterChart>
      <c:valAx>
        <c:axId val="8444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13616"/>
        <c:crosses val="autoZero"/>
        <c:crossBetween val="midCat"/>
      </c:valAx>
      <c:valAx>
        <c:axId val="832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</a:t>
            </a:r>
            <a:r>
              <a:rPr lang="en-AU" baseline="0"/>
              <a:t> Monthly Mean</a:t>
            </a:r>
          </a:p>
        </c:rich>
      </c:tx>
      <c:layout>
        <c:manualLayout>
          <c:xMode val="edge"/>
          <c:yMode val="edge"/>
          <c:x val="0.395604111986001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Temp'!$C$81:$C$104</c:f>
              <c:numCache>
                <c:formatCode>General</c:formatCode>
                <c:ptCount val="24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30.3</c:v>
                </c:pt>
                <c:pt idx="12">
                  <c:v>31.3</c:v>
                </c:pt>
                <c:pt idx="13">
                  <c:v>32.200000000000003</c:v>
                </c:pt>
                <c:pt idx="14">
                  <c:v>31</c:v>
                </c:pt>
                <c:pt idx="15">
                  <c:v>26</c:v>
                </c:pt>
                <c:pt idx="16">
                  <c:v>22.5</c:v>
                </c:pt>
                <c:pt idx="17">
                  <c:v>19.600000000000001</c:v>
                </c:pt>
                <c:pt idx="18">
                  <c:v>19.3</c:v>
                </c:pt>
                <c:pt idx="19">
                  <c:v>20.2</c:v>
                </c:pt>
                <c:pt idx="20">
                  <c:v>23.1</c:v>
                </c:pt>
                <c:pt idx="21">
                  <c:v>24.7</c:v>
                </c:pt>
                <c:pt idx="2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9E-47EC-8AF8-51B7F2A10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406584"/>
        <c:axId val="832103120"/>
      </c:scatterChart>
      <c:valAx>
        <c:axId val="32640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03120"/>
        <c:crosses val="autoZero"/>
        <c:crossBetween val="midCat"/>
      </c:valAx>
      <c:valAx>
        <c:axId val="8321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6-4B55-8268-F1995636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Range</a:t>
            </a:r>
            <a:r>
              <a:rPr lang="en-AU" baseline="0"/>
              <a:t> Model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temp variation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Temp'!$J$109:$J$127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19120"/>
        <c:axId val="841120760"/>
      </c:scatterChart>
      <c:scatterChart>
        <c:scatterStyle val="smoothMarker"/>
        <c:varyColors val="0"/>
        <c:ser>
          <c:idx val="0"/>
          <c:order val="0"/>
          <c:tx>
            <c:v>Staff Variation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Temp'!$G$109:$G$127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-5.3999999999998494E-4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21440"/>
        <c:axId val="860211928"/>
      </c:scatterChart>
      <c:valAx>
        <c:axId val="8411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0760"/>
        <c:crosses val="autoZero"/>
        <c:crossBetween val="midCat"/>
      </c:valAx>
      <c:valAx>
        <c:axId val="8411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120"/>
        <c:crosses val="autoZero"/>
        <c:crossBetween val="midCat"/>
      </c:valAx>
      <c:valAx>
        <c:axId val="860211928"/>
        <c:scaling>
          <c:orientation val="minMax"/>
        </c:scaling>
        <c:delete val="0"/>
        <c:axPos val="r"/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21440"/>
        <c:crosses val="max"/>
        <c:crossBetween val="midCat"/>
      </c:valAx>
      <c:valAx>
        <c:axId val="8602214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6021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Final Boya Range Model - replace July2019withJuly2007 data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Monthly Mean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Temp'!$J$135:$J$153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22072"/>
        <c:axId val="841119448"/>
      </c:scatterChart>
      <c:scatterChart>
        <c:scatterStyle val="smoothMarker"/>
        <c:varyColors val="0"/>
        <c:ser>
          <c:idx val="0"/>
          <c:order val="0"/>
          <c:tx>
            <c:v>2018-2019 Boya Range Reading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0120873204130921E-2"/>
                  <c:y val="-0.19165686171085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Temp'!$G$135:$G$153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-8.3999999999972985E-4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553288"/>
        <c:axId val="849555256"/>
      </c:scatterChart>
      <c:valAx>
        <c:axId val="8411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448"/>
        <c:crosses val="autoZero"/>
        <c:crossBetween val="midCat"/>
      </c:valAx>
      <c:valAx>
        <c:axId val="8411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2072"/>
        <c:crosses val="autoZero"/>
        <c:crossBetween val="midCat"/>
      </c:valAx>
      <c:valAx>
        <c:axId val="849555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Height</a:t>
                </a:r>
                <a:r>
                  <a:rPr lang="en-AU" baseline="0"/>
                  <a:t> Differences Variation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53288"/>
        <c:crosses val="max"/>
        <c:crossBetween val="midCat"/>
      </c:valAx>
      <c:valAx>
        <c:axId val="84955328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49555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Test44):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Comparisons&amp;merge'!$B$28:$B$47</c:f>
              <c:numCache>
                <c:formatCode>General</c:formatCode>
                <c:ptCount val="20"/>
                <c:pt idx="0">
                  <c:v>0</c:v>
                </c:pt>
                <c:pt idx="1">
                  <c:v>1.9999999999992246E-5</c:v>
                </c:pt>
                <c:pt idx="2">
                  <c:v>-3.0000000000002247E-5</c:v>
                </c:pt>
                <c:pt idx="3">
                  <c:v>-3.0000000000002247E-5</c:v>
                </c:pt>
                <c:pt idx="4">
                  <c:v>3.0000000000002247E-5</c:v>
                </c:pt>
                <c:pt idx="5">
                  <c:v>4.9999999999994493E-5</c:v>
                </c:pt>
                <c:pt idx="6">
                  <c:v>-7.0000000000014495E-5</c:v>
                </c:pt>
                <c:pt idx="7">
                  <c:v>2.0000000000020002E-5</c:v>
                </c:pt>
                <c:pt idx="8">
                  <c:v>-3.9999999999984492E-5</c:v>
                </c:pt>
                <c:pt idx="9">
                  <c:v>0</c:v>
                </c:pt>
                <c:pt idx="10">
                  <c:v>3.9999999999984492E-5</c:v>
                </c:pt>
                <c:pt idx="11">
                  <c:v>6.0000000000004494E-5</c:v>
                </c:pt>
                <c:pt idx="12">
                  <c:v>4.9999999999994493E-5</c:v>
                </c:pt>
                <c:pt idx="13">
                  <c:v>-1.7000000000000348E-4</c:v>
                </c:pt>
                <c:pt idx="14">
                  <c:v>4.9999999999994493E-5</c:v>
                </c:pt>
                <c:pt idx="15">
                  <c:v>4.0000000000012248E-5</c:v>
                </c:pt>
                <c:pt idx="16">
                  <c:v>-6.9999999999986739E-5</c:v>
                </c:pt>
                <c:pt idx="17">
                  <c:v>-1.3000000000001899E-4</c:v>
                </c:pt>
                <c:pt idx="18">
                  <c:v>-4.9999999999994493E-5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51-4256-B2E3-B8EC2B5BD2F1}"/>
            </c:ext>
          </c:extLst>
        </c:ser>
        <c:ser>
          <c:idx val="1"/>
          <c:order val="1"/>
          <c:tx>
            <c:strRef>
              <c:f>'HeightDiff Comparisons&amp;merge'!$C$27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Comparisons&amp;merge'!$C$28:$C$47</c:f>
              <c:numCache>
                <c:formatCode>General</c:formatCode>
                <c:ptCount val="20"/>
                <c:pt idx="0">
                  <c:v>9.0000000000006741E-5</c:v>
                </c:pt>
                <c:pt idx="1">
                  <c:v>-3.9999999999984492E-5</c:v>
                </c:pt>
                <c:pt idx="2">
                  <c:v>-6.0000000000004494E-5</c:v>
                </c:pt>
                <c:pt idx="3">
                  <c:v>1.0000000000010001E-5</c:v>
                </c:pt>
                <c:pt idx="4">
                  <c:v>-9.9999999999822453E-6</c:v>
                </c:pt>
                <c:pt idx="5">
                  <c:v>1.0999999999999899E-4</c:v>
                </c:pt>
                <c:pt idx="6">
                  <c:v>1.9999999999992246E-5</c:v>
                </c:pt>
                <c:pt idx="7">
                  <c:v>2.0000000000020002E-5</c:v>
                </c:pt>
                <c:pt idx="8">
                  <c:v>1.0000000000010001E-5</c:v>
                </c:pt>
                <c:pt idx="9">
                  <c:v>-1.9999999999964491E-5</c:v>
                </c:pt>
                <c:pt idx="10">
                  <c:v>9.9999999999988987E-5</c:v>
                </c:pt>
                <c:pt idx="11">
                  <c:v>4.0000000000012248E-5</c:v>
                </c:pt>
                <c:pt idx="12">
                  <c:v>8.9999999999978986E-5</c:v>
                </c:pt>
                <c:pt idx="13">
                  <c:v>-9.0000000000006741E-5</c:v>
                </c:pt>
                <c:pt idx="14">
                  <c:v>9.0000000000006741E-5</c:v>
                </c:pt>
                <c:pt idx="15">
                  <c:v>1.2000000000000899E-4</c:v>
                </c:pt>
                <c:pt idx="16">
                  <c:v>-1.9999999999992246E-5</c:v>
                </c:pt>
                <c:pt idx="17">
                  <c:v>-9.0000000000006741E-5</c:v>
                </c:pt>
                <c:pt idx="18">
                  <c:v>1.3000000000001899E-4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51-4256-B2E3-B8EC2B5BD2F1}"/>
            </c:ext>
          </c:extLst>
        </c:ser>
        <c:ser>
          <c:idx val="2"/>
          <c:order val="2"/>
          <c:tx>
            <c:strRef>
              <c:f>'HeightDiff Comparisons&amp;merge'!$D$27</c:f>
              <c:strCache>
                <c:ptCount val="1"/>
                <c:pt idx="0">
                  <c:v>Δ (T56-T44)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Comparisons&amp;merge'!$D$28:$D$47</c:f>
              <c:numCache>
                <c:formatCode>General</c:formatCode>
                <c:ptCount val="20"/>
                <c:pt idx="0">
                  <c:v>7.0000000000000617E-5</c:v>
                </c:pt>
                <c:pt idx="1">
                  <c:v>1.0000000000010001E-5</c:v>
                </c:pt>
                <c:pt idx="2">
                  <c:v>-3.0000000000002247E-5</c:v>
                </c:pt>
                <c:pt idx="3">
                  <c:v>-4.9999999999994493E-5</c:v>
                </c:pt>
                <c:pt idx="4">
                  <c:v>4.0000000000012248E-5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5.0000000000050004E-5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-1.0999999999999899E-4</c:v>
                </c:pt>
                <c:pt idx="14">
                  <c:v>1.0000000000010001E-5</c:v>
                </c:pt>
                <c:pt idx="15">
                  <c:v>1.0000000000001674E-4</c:v>
                </c:pt>
                <c:pt idx="16">
                  <c:v>-3.0000000000002247E-5</c:v>
                </c:pt>
                <c:pt idx="17">
                  <c:v>-9.0000000000006741E-5</c:v>
                </c:pt>
                <c:pt idx="18">
                  <c:v>3.0000000000002247E-5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51-4256-B2E3-B8EC2B5BD2F1}"/>
            </c:ext>
          </c:extLst>
        </c:ser>
        <c:ser>
          <c:idx val="3"/>
          <c:order val="3"/>
          <c:tx>
            <c:strRef>
              <c:f>'HeightDiff Comparisons&amp;merge'!$E$27</c:f>
              <c:strCache>
                <c:ptCount val="1"/>
                <c:pt idx="0">
                  <c:v>Δ (T55-T44)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Comparisons&amp;merge'!$E$28:$E$47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1.9999999999992246E-5</c:v>
                </c:pt>
                <c:pt idx="2">
                  <c:v>-4.0000000000012248E-5</c:v>
                </c:pt>
                <c:pt idx="3">
                  <c:v>0</c:v>
                </c:pt>
                <c:pt idx="4">
                  <c:v>1.0000000000010001E-5</c:v>
                </c:pt>
                <c:pt idx="5">
                  <c:v>4.9999999999994493E-5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-3.9999999999984492E-5</c:v>
                </c:pt>
                <c:pt idx="9">
                  <c:v>-1.9999999999964491E-5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-1.2999999999999123E-4</c:v>
                </c:pt>
                <c:pt idx="14">
                  <c:v>1.0000000000010001E-5</c:v>
                </c:pt>
                <c:pt idx="15">
                  <c:v>8.0000000000024496E-5</c:v>
                </c:pt>
                <c:pt idx="16">
                  <c:v>-6.9999999999986739E-5</c:v>
                </c:pt>
                <c:pt idx="17">
                  <c:v>-7.999999999999674E-5</c:v>
                </c:pt>
                <c:pt idx="18">
                  <c:v>-3.9999999999984492E-5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51-4256-B2E3-B8EC2B5BD2F1}"/>
            </c:ext>
          </c:extLst>
        </c:ser>
        <c:ser>
          <c:idx val="4"/>
          <c:order val="4"/>
          <c:tx>
            <c:strRef>
              <c:f>'HeightDiff Comparisons&amp;merge'!$F$27</c:f>
              <c:strCache>
                <c:ptCount val="1"/>
                <c:pt idx="0">
                  <c:v>Δ (T54-T44)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Comparisons&amp;merge'!$F$28:$F$47</c:f>
              <c:numCache>
                <c:formatCode>General</c:formatCode>
                <c:ptCount val="20"/>
                <c:pt idx="0">
                  <c:v>-7.0000000000000617E-5</c:v>
                </c:pt>
                <c:pt idx="1">
                  <c:v>7.0000000000014495E-5</c:v>
                </c:pt>
                <c:pt idx="2">
                  <c:v>-1.4000000000000123E-4</c:v>
                </c:pt>
                <c:pt idx="3">
                  <c:v>7.0000000000014495E-5</c:v>
                </c:pt>
                <c:pt idx="4">
                  <c:v>1.0000000000010001E-5</c:v>
                </c:pt>
                <c:pt idx="5">
                  <c:v>1.0000000000010001E-5</c:v>
                </c:pt>
                <c:pt idx="6">
                  <c:v>-6.0000000000004494E-5</c:v>
                </c:pt>
                <c:pt idx="7">
                  <c:v>-5.9999999999976739E-5</c:v>
                </c:pt>
                <c:pt idx="8">
                  <c:v>-1.0000000000010001E-5</c:v>
                </c:pt>
                <c:pt idx="9">
                  <c:v>-6.0000000000004494E-5</c:v>
                </c:pt>
                <c:pt idx="10">
                  <c:v>7.0000000000014495E-5</c:v>
                </c:pt>
                <c:pt idx="11">
                  <c:v>6.0000000000004494E-5</c:v>
                </c:pt>
                <c:pt idx="12">
                  <c:v>-3.0000000000002247E-5</c:v>
                </c:pt>
                <c:pt idx="13">
                  <c:v>-1.2999999999999123E-4</c:v>
                </c:pt>
                <c:pt idx="14">
                  <c:v>-1.9999999999992246E-5</c:v>
                </c:pt>
                <c:pt idx="15">
                  <c:v>7.0000000000014495E-5</c:v>
                </c:pt>
                <c:pt idx="16">
                  <c:v>-4.9999999999994493E-5</c:v>
                </c:pt>
                <c:pt idx="17">
                  <c:v>-1.4000000000000123E-4</c:v>
                </c:pt>
                <c:pt idx="18">
                  <c:v>-3.9999999999984492E-5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51-4256-B2E3-B8EC2B5BD2F1}"/>
            </c:ext>
          </c:extLst>
        </c:ser>
        <c:ser>
          <c:idx val="5"/>
          <c:order val="5"/>
          <c:tx>
            <c:strRef>
              <c:f>'HeightDiff Comparisons&amp;merge'!$G$27</c:f>
              <c:strCache>
                <c:ptCount val="1"/>
                <c:pt idx="0">
                  <c:v>Δ (T53-T44)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Comparisons&amp;merge'!$G$28:$G$47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4.0000000000012248E-5</c:v>
                </c:pt>
                <c:pt idx="2">
                  <c:v>-7.0000000000014495E-5</c:v>
                </c:pt>
                <c:pt idx="3">
                  <c:v>0</c:v>
                </c:pt>
                <c:pt idx="4">
                  <c:v>4.0000000000012248E-5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5.0000000000022249E-5</c:v>
                </c:pt>
                <c:pt idx="12">
                  <c:v>2.9999999999974492E-5</c:v>
                </c:pt>
                <c:pt idx="13">
                  <c:v>-1.5999999999999348E-4</c:v>
                </c:pt>
                <c:pt idx="14">
                  <c:v>-1.0000000000010001E-5</c:v>
                </c:pt>
                <c:pt idx="15">
                  <c:v>9.0000000000006741E-5</c:v>
                </c:pt>
                <c:pt idx="16">
                  <c:v>-8.9999999999978986E-5</c:v>
                </c:pt>
                <c:pt idx="17">
                  <c:v>-1.0999999999999899E-4</c:v>
                </c:pt>
                <c:pt idx="18">
                  <c:v>-1.9999999999992246E-5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51-4256-B2E3-B8EC2B5BD2F1}"/>
            </c:ext>
          </c:extLst>
        </c:ser>
        <c:ser>
          <c:idx val="6"/>
          <c:order val="6"/>
          <c:tx>
            <c:strRef>
              <c:f>'HeightDiff Comparisons&amp;merge'!$H$27</c:f>
              <c:strCache>
                <c:ptCount val="1"/>
                <c:pt idx="0">
                  <c:v>Δ (T52-T44)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Comparisons&amp;merge'!$H$28:$H$47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4.0000000000012248E-5</c:v>
                </c:pt>
                <c:pt idx="2">
                  <c:v>-4.9999999999994493E-5</c:v>
                </c:pt>
                <c:pt idx="3">
                  <c:v>0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-4.0000000000012248E-5</c:v>
                </c:pt>
                <c:pt idx="7">
                  <c:v>-1.9999999999992246E-5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-1.0000000000010001E-5</c:v>
                </c:pt>
                <c:pt idx="11">
                  <c:v>5.0000000000022249E-5</c:v>
                </c:pt>
                <c:pt idx="12">
                  <c:v>3.9999999999984492E-5</c:v>
                </c:pt>
                <c:pt idx="13">
                  <c:v>-1.7999999999998573E-4</c:v>
                </c:pt>
                <c:pt idx="14">
                  <c:v>-1.9999999999992246E-5</c:v>
                </c:pt>
                <c:pt idx="15">
                  <c:v>4.0000000000012248E-5</c:v>
                </c:pt>
                <c:pt idx="16">
                  <c:v>-7.999999999999674E-5</c:v>
                </c:pt>
                <c:pt idx="17">
                  <c:v>-1.2000000000000899E-4</c:v>
                </c:pt>
                <c:pt idx="18">
                  <c:v>-1.9999999999992246E-5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51-4256-B2E3-B8EC2B5BD2F1}"/>
            </c:ext>
          </c:extLst>
        </c:ser>
        <c:ser>
          <c:idx val="7"/>
          <c:order val="7"/>
          <c:tx>
            <c:strRef>
              <c:f>'HeightDiff Comparisons&amp;merge'!$I$27</c:f>
              <c:strCache>
                <c:ptCount val="1"/>
                <c:pt idx="0">
                  <c:v>Δ (T51-T44)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Comparisons&amp;merge'!$I$28:$I$47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3.0000000000002247E-5</c:v>
                </c:pt>
                <c:pt idx="2">
                  <c:v>-4.0000000000012248E-5</c:v>
                </c:pt>
                <c:pt idx="3">
                  <c:v>-6.0000000000004494E-5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-4.9999999999994493E-5</c:v>
                </c:pt>
                <c:pt idx="9">
                  <c:v>2.0000000000020002E-5</c:v>
                </c:pt>
                <c:pt idx="10">
                  <c:v>0</c:v>
                </c:pt>
                <c:pt idx="11">
                  <c:v>8.0000000000024496E-5</c:v>
                </c:pt>
                <c:pt idx="12">
                  <c:v>1.9999999999992246E-5</c:v>
                </c:pt>
                <c:pt idx="13">
                  <c:v>-1.4000000000000123E-4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-9.9999999999988987E-5</c:v>
                </c:pt>
                <c:pt idx="17">
                  <c:v>-7.0000000000014495E-5</c:v>
                </c:pt>
                <c:pt idx="18">
                  <c:v>-9.9999999999822453E-6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D8E-81B7-EB4095ED760A}"/>
            </c:ext>
          </c:extLst>
        </c:ser>
        <c:ser>
          <c:idx val="8"/>
          <c:order val="8"/>
          <c:tx>
            <c:strRef>
              <c:f>'HeightDiff Comparisons&amp;merge'!$J$27</c:f>
              <c:strCache>
                <c:ptCount val="1"/>
                <c:pt idx="0">
                  <c:v>Δ (T50-T44)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Comparisons&amp;merge'!$J$28:$J$47</c:f>
              <c:numCache>
                <c:formatCode>General</c:formatCode>
                <c:ptCount val="20"/>
                <c:pt idx="0">
                  <c:v>-1.4000000000000123E-4</c:v>
                </c:pt>
                <c:pt idx="1">
                  <c:v>6.0000000000004494E-5</c:v>
                </c:pt>
                <c:pt idx="2">
                  <c:v>-4.0000000000012248E-5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9.0000000000006741E-5</c:v>
                </c:pt>
                <c:pt idx="6">
                  <c:v>-1.0000000000001674E-4</c:v>
                </c:pt>
                <c:pt idx="7">
                  <c:v>4.0000000000012248E-5</c:v>
                </c:pt>
                <c:pt idx="8">
                  <c:v>-1.0000000000010001E-5</c:v>
                </c:pt>
                <c:pt idx="9">
                  <c:v>-1.9999999999964491E-5</c:v>
                </c:pt>
                <c:pt idx="10">
                  <c:v>0</c:v>
                </c:pt>
                <c:pt idx="11">
                  <c:v>5.0000000000022249E-5</c:v>
                </c:pt>
                <c:pt idx="12">
                  <c:v>-5.0000000000022249E-5</c:v>
                </c:pt>
                <c:pt idx="13">
                  <c:v>-3.9999999999984492E-5</c:v>
                </c:pt>
                <c:pt idx="14">
                  <c:v>-4.9999999999994493E-5</c:v>
                </c:pt>
                <c:pt idx="15">
                  <c:v>1.0000000000001674E-4</c:v>
                </c:pt>
                <c:pt idx="16">
                  <c:v>-1.2999999999999123E-4</c:v>
                </c:pt>
                <c:pt idx="17">
                  <c:v>-7.999999999999674E-5</c:v>
                </c:pt>
                <c:pt idx="18">
                  <c:v>1.0000000000010001E-5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4-49C4-BC89-46E57368025B}"/>
            </c:ext>
          </c:extLst>
        </c:ser>
        <c:ser>
          <c:idx val="9"/>
          <c:order val="9"/>
          <c:tx>
            <c:strRef>
              <c:f>'HeightDiff Comparisons&amp;merge'!$K$27</c:f>
              <c:strCache>
                <c:ptCount val="1"/>
                <c:pt idx="0">
                  <c:v>Δ (T49-T44)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Comparisons&amp;merge'!$K$28:$K$47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4.9999999999994493E-5</c:v>
                </c:pt>
                <c:pt idx="2">
                  <c:v>-3.0000000000002247E-5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7.999999999999674E-5</c:v>
                </c:pt>
                <c:pt idx="6">
                  <c:v>-6.0000000000004494E-5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-1.9999999999964491E-5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2.9999999999974492E-5</c:v>
                </c:pt>
                <c:pt idx="13">
                  <c:v>-4.9999999999994493E-5</c:v>
                </c:pt>
                <c:pt idx="14">
                  <c:v>1.9999999999992246E-5</c:v>
                </c:pt>
                <c:pt idx="15">
                  <c:v>1.0000000000010001E-5</c:v>
                </c:pt>
                <c:pt idx="16">
                  <c:v>-9.9999999999822453E-6</c:v>
                </c:pt>
                <c:pt idx="17">
                  <c:v>-1.2000000000000899E-4</c:v>
                </c:pt>
                <c:pt idx="18">
                  <c:v>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E21-8F40-B55FB1AA0DFC}"/>
            </c:ext>
          </c:extLst>
        </c:ser>
        <c:ser>
          <c:idx val="10"/>
          <c:order val="10"/>
          <c:tx>
            <c:strRef>
              <c:f>'HeightDiff Comparisons&amp;merge'!$L$27</c:f>
              <c:strCache>
                <c:ptCount val="1"/>
                <c:pt idx="0">
                  <c:v>Δ (T48-T44)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Comparisons&amp;merge'!$L$28:$L$47</c:f>
              <c:numCache>
                <c:formatCode>General</c:formatCode>
                <c:ptCount val="20"/>
                <c:pt idx="0">
                  <c:v>5.0000000000008371E-5</c:v>
                </c:pt>
                <c:pt idx="1">
                  <c:v>1.0000000000010001E-5</c:v>
                </c:pt>
                <c:pt idx="2">
                  <c:v>-7.999999999999674E-5</c:v>
                </c:pt>
                <c:pt idx="3">
                  <c:v>4.0000000000012248E-5</c:v>
                </c:pt>
                <c:pt idx="4">
                  <c:v>-9.9999999999822453E-6</c:v>
                </c:pt>
                <c:pt idx="5">
                  <c:v>9.0000000000006741E-5</c:v>
                </c:pt>
                <c:pt idx="6">
                  <c:v>-2.0000000000020002E-5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3.9999999999984492E-5</c:v>
                </c:pt>
                <c:pt idx="13">
                  <c:v>-9.9999999999822453E-6</c:v>
                </c:pt>
                <c:pt idx="14">
                  <c:v>3.0000000000002247E-5</c:v>
                </c:pt>
                <c:pt idx="15">
                  <c:v>4.0000000000012248E-5</c:v>
                </c:pt>
                <c:pt idx="16">
                  <c:v>1.0000000000010001E-5</c:v>
                </c:pt>
                <c:pt idx="17">
                  <c:v>-6.0000000000004494E-5</c:v>
                </c:pt>
                <c:pt idx="18">
                  <c:v>1.9999999999992246E-5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9-4634-96A1-300D5EB17D80}"/>
            </c:ext>
          </c:extLst>
        </c:ser>
        <c:ser>
          <c:idx val="11"/>
          <c:order val="11"/>
          <c:tx>
            <c:strRef>
              <c:f>'HeightDiff Comparisons&amp;merge'!$M$27</c:f>
              <c:strCache>
                <c:ptCount val="1"/>
                <c:pt idx="0">
                  <c:v>Δ (T47-T44)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Comparisons&amp;merge'!$M$28:$M$47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-6.0000000000004494E-5</c:v>
                </c:pt>
                <c:pt idx="3">
                  <c:v>1.9999999999992246E-5</c:v>
                </c:pt>
                <c:pt idx="4">
                  <c:v>4.0000000000012248E-5</c:v>
                </c:pt>
                <c:pt idx="5">
                  <c:v>7.0000000000014495E-5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-4.9999999999994493E-5</c:v>
                </c:pt>
                <c:pt idx="9">
                  <c:v>6.0000000000004494E-5</c:v>
                </c:pt>
                <c:pt idx="10">
                  <c:v>2.0000000000020002E-5</c:v>
                </c:pt>
                <c:pt idx="11">
                  <c:v>0</c:v>
                </c:pt>
                <c:pt idx="12">
                  <c:v>4.9999999999994493E-5</c:v>
                </c:pt>
                <c:pt idx="13">
                  <c:v>0</c:v>
                </c:pt>
                <c:pt idx="14">
                  <c:v>4.0000000000012248E-5</c:v>
                </c:pt>
                <c:pt idx="15">
                  <c:v>6.0000000000004494E-5</c:v>
                </c:pt>
                <c:pt idx="16">
                  <c:v>0</c:v>
                </c:pt>
                <c:pt idx="17">
                  <c:v>0</c:v>
                </c:pt>
                <c:pt idx="18">
                  <c:v>-9.9999999999822453E-6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9-4FB0-983C-D74D565C4825}"/>
            </c:ext>
          </c:extLst>
        </c:ser>
        <c:ser>
          <c:idx val="12"/>
          <c:order val="12"/>
          <c:tx>
            <c:strRef>
              <c:f>'HeightDiff Comparisons&amp;merge'!$N$27</c:f>
              <c:strCache>
                <c:ptCount val="1"/>
                <c:pt idx="0">
                  <c:v>Δ (T46-T44)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Comparisons&amp;merge'!$N$28:$N$47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3.0000000000002247E-5</c:v>
                </c:pt>
                <c:pt idx="2">
                  <c:v>-1.0000000000010001E-5</c:v>
                </c:pt>
                <c:pt idx="3">
                  <c:v>-3.0000000000002247E-5</c:v>
                </c:pt>
                <c:pt idx="4">
                  <c:v>6.0000000000004494E-5</c:v>
                </c:pt>
                <c:pt idx="5">
                  <c:v>7.0000000000014495E-5</c:v>
                </c:pt>
                <c:pt idx="6">
                  <c:v>9.9999999999822453E-6</c:v>
                </c:pt>
                <c:pt idx="7">
                  <c:v>3.0000000000002247E-5</c:v>
                </c:pt>
                <c:pt idx="8">
                  <c:v>0</c:v>
                </c:pt>
                <c:pt idx="9">
                  <c:v>-9.9999999999544897E-6</c:v>
                </c:pt>
                <c:pt idx="10">
                  <c:v>3.9999999999984492E-5</c:v>
                </c:pt>
                <c:pt idx="11">
                  <c:v>3.0000000000002247E-5</c:v>
                </c:pt>
                <c:pt idx="12">
                  <c:v>0</c:v>
                </c:pt>
                <c:pt idx="13">
                  <c:v>1.9999999999992246E-5</c:v>
                </c:pt>
                <c:pt idx="14">
                  <c:v>4.0000000000012248E-5</c:v>
                </c:pt>
                <c:pt idx="15">
                  <c:v>2.0000000000020002E-5</c:v>
                </c:pt>
                <c:pt idx="16">
                  <c:v>4.9999999999994493E-5</c:v>
                </c:pt>
                <c:pt idx="17">
                  <c:v>-4.0000000000012248E-5</c:v>
                </c:pt>
                <c:pt idx="18">
                  <c:v>6.0000000000004494E-5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F-40C2-851C-578E1C8E0B48}"/>
            </c:ext>
          </c:extLst>
        </c:ser>
        <c:ser>
          <c:idx val="13"/>
          <c:order val="13"/>
          <c:tx>
            <c:strRef>
              <c:f>'HeightDiff Comparisons&amp;merge'!$O$27</c:f>
              <c:strCache>
                <c:ptCount val="1"/>
                <c:pt idx="0">
                  <c:v>Δ (T45-T44)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Comparisons&amp;merge'!$O$28:$O$47</c:f>
              <c:numCache>
                <c:formatCode>General</c:formatCode>
                <c:ptCount val="20"/>
                <c:pt idx="0">
                  <c:v>-3.0000000000002247E-5</c:v>
                </c:pt>
                <c:pt idx="1">
                  <c:v>7.0000000000014495E-5</c:v>
                </c:pt>
                <c:pt idx="2">
                  <c:v>0</c:v>
                </c:pt>
                <c:pt idx="3">
                  <c:v>-1.0000000000010001E-5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-9.0000000000006741E-5</c:v>
                </c:pt>
                <c:pt idx="7">
                  <c:v>2.0000000000020002E-5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3.9999999999984492E-5</c:v>
                </c:pt>
                <c:pt idx="11">
                  <c:v>1.0000000000010001E-5</c:v>
                </c:pt>
                <c:pt idx="12">
                  <c:v>4.9999999999994493E-5</c:v>
                </c:pt>
                <c:pt idx="13">
                  <c:v>-9.9999999999822453E-6</c:v>
                </c:pt>
                <c:pt idx="14">
                  <c:v>1.0000000000010001E-5</c:v>
                </c:pt>
                <c:pt idx="15">
                  <c:v>1.0999999999999899E-4</c:v>
                </c:pt>
                <c:pt idx="16">
                  <c:v>-1.9999999999992246E-5</c:v>
                </c:pt>
                <c:pt idx="17">
                  <c:v>-2.0000000000020002E-5</c:v>
                </c:pt>
                <c:pt idx="18">
                  <c:v>-3.9999999999984492E-5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0-4AE9-8921-C4480EA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M8):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79751920419025E-2"/>
          <c:y val="9.8811616754905129E-2"/>
          <c:w val="0.92227361220192305"/>
          <c:h val="0.86060866383856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Comparisons&amp;merge'!$B$52:$B$71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1.9999999999992246E-5</c:v>
                </c:pt>
                <c:pt idx="2">
                  <c:v>3.1000000000000472E-4</c:v>
                </c:pt>
                <c:pt idx="3">
                  <c:v>-2.1999999999999797E-4</c:v>
                </c:pt>
                <c:pt idx="4">
                  <c:v>-7.999999999999674E-5</c:v>
                </c:pt>
                <c:pt idx="5">
                  <c:v>1.9999999999992246E-5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3.0000000000030003E-5</c:v>
                </c:pt>
                <c:pt idx="9">
                  <c:v>-1.0000000000010001E-5</c:v>
                </c:pt>
                <c:pt idx="10">
                  <c:v>6.0000000000004494E-5</c:v>
                </c:pt>
                <c:pt idx="11">
                  <c:v>1.8999999999999573E-4</c:v>
                </c:pt>
                <c:pt idx="12">
                  <c:v>2.9999999999999472E-4</c:v>
                </c:pt>
                <c:pt idx="13">
                  <c:v>-5.7999999999999718E-4</c:v>
                </c:pt>
                <c:pt idx="14">
                  <c:v>1.9999999999997797E-4</c:v>
                </c:pt>
                <c:pt idx="15">
                  <c:v>-1.5999999999999348E-4</c:v>
                </c:pt>
                <c:pt idx="16">
                  <c:v>9.2000000000000415E-4</c:v>
                </c:pt>
                <c:pt idx="17">
                  <c:v>-1.0200000000000209E-3</c:v>
                </c:pt>
                <c:pt idx="18">
                  <c:v>-9.0000000000006741E-5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2-4777-802A-D3008FC81CFB}"/>
            </c:ext>
          </c:extLst>
        </c:ser>
        <c:ser>
          <c:idx val="1"/>
          <c:order val="1"/>
          <c:tx>
            <c:strRef>
              <c:f>'HeightDiff Comparisons&amp;merge'!$C$51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Comparisons&amp;merge'!$C$52:$C$71</c:f>
              <c:numCache>
                <c:formatCode>General</c:formatCode>
                <c:ptCount val="20"/>
                <c:pt idx="0">
                  <c:v>1.2000000000000899E-4</c:v>
                </c:pt>
                <c:pt idx="1">
                  <c:v>-3.9999999999984492E-5</c:v>
                </c:pt>
                <c:pt idx="2">
                  <c:v>2.8000000000000247E-4</c:v>
                </c:pt>
                <c:pt idx="3">
                  <c:v>-1.7999999999998573E-4</c:v>
                </c:pt>
                <c:pt idx="4">
                  <c:v>-1.1999999999998123E-4</c:v>
                </c:pt>
                <c:pt idx="5">
                  <c:v>7.999999999999674E-5</c:v>
                </c:pt>
                <c:pt idx="6">
                  <c:v>7.999999999999674E-5</c:v>
                </c:pt>
                <c:pt idx="7">
                  <c:v>1.0000000000010001E-5</c:v>
                </c:pt>
                <c:pt idx="8">
                  <c:v>8.0000000000024496E-5</c:v>
                </c:pt>
                <c:pt idx="9">
                  <c:v>-2.9999999999974492E-5</c:v>
                </c:pt>
                <c:pt idx="10">
                  <c:v>1.2000000000000899E-4</c:v>
                </c:pt>
                <c:pt idx="11">
                  <c:v>1.7000000000000348E-4</c:v>
                </c:pt>
                <c:pt idx="12">
                  <c:v>3.3999999999997921E-4</c:v>
                </c:pt>
                <c:pt idx="13">
                  <c:v>-5.0000000000000044E-4</c:v>
                </c:pt>
                <c:pt idx="14">
                  <c:v>2.3999999999999022E-4</c:v>
                </c:pt>
                <c:pt idx="15">
                  <c:v>-7.999999999999674E-5</c:v>
                </c:pt>
                <c:pt idx="16">
                  <c:v>9.6999999999999864E-4</c:v>
                </c:pt>
                <c:pt idx="17">
                  <c:v>-9.8000000000000864E-4</c:v>
                </c:pt>
                <c:pt idx="18">
                  <c:v>9.0000000000006741E-5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2-4777-802A-D3008FC81CFB}"/>
            </c:ext>
          </c:extLst>
        </c:ser>
        <c:ser>
          <c:idx val="2"/>
          <c:order val="2"/>
          <c:tx>
            <c:strRef>
              <c:f>'HeightDiff Comparisons&amp;merge'!$D$51</c:f>
              <c:strCache>
                <c:ptCount val="1"/>
                <c:pt idx="0">
                  <c:v>Δ (T56-M8)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Comparisons&amp;merge'!$D$52:$D$71</c:f>
              <c:numCache>
                <c:formatCode>General</c:formatCode>
                <c:ptCount val="20"/>
                <c:pt idx="0">
                  <c:v>1.0000000000000286E-4</c:v>
                </c:pt>
                <c:pt idx="1">
                  <c:v>1.0000000000010001E-5</c:v>
                </c:pt>
                <c:pt idx="2">
                  <c:v>3.1000000000000472E-4</c:v>
                </c:pt>
                <c:pt idx="3">
                  <c:v>-2.3999999999999022E-4</c:v>
                </c:pt>
                <c:pt idx="4">
                  <c:v>-6.9999999999986739E-5</c:v>
                </c:pt>
                <c:pt idx="5">
                  <c:v>0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1.0000000000010001E-5</c:v>
                </c:pt>
                <c:pt idx="9">
                  <c:v>4.0000000000040004E-5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-5.1999999999999269E-4</c:v>
                </c:pt>
                <c:pt idx="14">
                  <c:v>1.5999999999999348E-4</c:v>
                </c:pt>
                <c:pt idx="15">
                  <c:v>-9.9999999999988987E-5</c:v>
                </c:pt>
                <c:pt idx="16">
                  <c:v>9.5999999999998864E-4</c:v>
                </c:pt>
                <c:pt idx="17">
                  <c:v>-9.8000000000000864E-4</c:v>
                </c:pt>
                <c:pt idx="18">
                  <c:v>-1.0000000000010001E-5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2-4777-802A-D3008FC81CFB}"/>
            </c:ext>
          </c:extLst>
        </c:ser>
        <c:ser>
          <c:idx val="3"/>
          <c:order val="3"/>
          <c:tx>
            <c:strRef>
              <c:f>'HeightDiff Comparisons&amp;merge'!$E$51</c:f>
              <c:strCache>
                <c:ptCount val="1"/>
                <c:pt idx="0">
                  <c:v>Δ (T55-M8)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Comparisons&amp;merge'!$E$52:$E$71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2.9999999999999472E-4</c:v>
                </c:pt>
                <c:pt idx="3">
                  <c:v>-1.8999999999999573E-4</c:v>
                </c:pt>
                <c:pt idx="4">
                  <c:v>-9.9999999999988987E-5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3.0000000000030003E-5</c:v>
                </c:pt>
                <c:pt idx="9">
                  <c:v>-2.9999999999974492E-5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-5.3999999999998494E-4</c:v>
                </c:pt>
                <c:pt idx="14">
                  <c:v>1.5999999999999348E-4</c:v>
                </c:pt>
                <c:pt idx="15">
                  <c:v>-1.1999999999998123E-4</c:v>
                </c:pt>
                <c:pt idx="16">
                  <c:v>9.2000000000000415E-4</c:v>
                </c:pt>
                <c:pt idx="17">
                  <c:v>-9.6999999999999864E-4</c:v>
                </c:pt>
                <c:pt idx="18">
                  <c:v>-7.999999999999674E-5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2-4777-802A-D3008FC81CFB}"/>
            </c:ext>
          </c:extLst>
        </c:ser>
        <c:ser>
          <c:idx val="4"/>
          <c:order val="4"/>
          <c:tx>
            <c:strRef>
              <c:f>'HeightDiff Comparisons&amp;merge'!$F$51</c:f>
              <c:strCache>
                <c:ptCount val="1"/>
                <c:pt idx="0">
                  <c:v>Δ (T54-M8)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Comparisons&amp;merge'!$F$52:$F$71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7.0000000000014495E-5</c:v>
                </c:pt>
                <c:pt idx="2">
                  <c:v>2.0000000000000573E-4</c:v>
                </c:pt>
                <c:pt idx="3">
                  <c:v>-1.1999999999998123E-4</c:v>
                </c:pt>
                <c:pt idx="4">
                  <c:v>-9.9999999999988987E-5</c:v>
                </c:pt>
                <c:pt idx="5">
                  <c:v>-1.9999999999992246E-5</c:v>
                </c:pt>
                <c:pt idx="6">
                  <c:v>0</c:v>
                </c:pt>
                <c:pt idx="7">
                  <c:v>-6.9999999999986739E-5</c:v>
                </c:pt>
                <c:pt idx="8">
                  <c:v>6.0000000000004494E-5</c:v>
                </c:pt>
                <c:pt idx="9">
                  <c:v>-7.0000000000014495E-5</c:v>
                </c:pt>
                <c:pt idx="10">
                  <c:v>9.0000000000034497E-5</c:v>
                </c:pt>
                <c:pt idx="11">
                  <c:v>1.8999999999999573E-4</c:v>
                </c:pt>
                <c:pt idx="12">
                  <c:v>2.1999999999999797E-4</c:v>
                </c:pt>
                <c:pt idx="13">
                  <c:v>-5.3999999999998494E-4</c:v>
                </c:pt>
                <c:pt idx="14">
                  <c:v>1.2999999999999123E-4</c:v>
                </c:pt>
                <c:pt idx="15">
                  <c:v>-1.2999999999999123E-4</c:v>
                </c:pt>
                <c:pt idx="16">
                  <c:v>9.3999999999999639E-4</c:v>
                </c:pt>
                <c:pt idx="17">
                  <c:v>-1.0300000000000031E-3</c:v>
                </c:pt>
                <c:pt idx="18">
                  <c:v>-7.999999999999674E-5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2-4777-802A-D3008FC81CFB}"/>
            </c:ext>
          </c:extLst>
        </c:ser>
        <c:ser>
          <c:idx val="5"/>
          <c:order val="5"/>
          <c:tx>
            <c:strRef>
              <c:f>'HeightDiff Comparisons&amp;merge'!$G$51</c:f>
              <c:strCache>
                <c:ptCount val="1"/>
                <c:pt idx="0">
                  <c:v>Δ (T53-M8)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Comparisons&amp;merge'!$G$52:$G$71</c:f>
              <c:numCache>
                <c:formatCode>General</c:formatCode>
                <c:ptCount val="20"/>
                <c:pt idx="0">
                  <c:v>4.0000000000012248E-5</c:v>
                </c:pt>
                <c:pt idx="1">
                  <c:v>4.0000000000012248E-5</c:v>
                </c:pt>
                <c:pt idx="2">
                  <c:v>2.6999999999999247E-4</c:v>
                </c:pt>
                <c:pt idx="3">
                  <c:v>-1.8999999999999573E-4</c:v>
                </c:pt>
                <c:pt idx="4">
                  <c:v>-6.9999999999986739E-5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0</c:v>
                </c:pt>
                <c:pt idx="8">
                  <c:v>2.0000000000020002E-5</c:v>
                </c:pt>
                <c:pt idx="9">
                  <c:v>-1.0000000000010001E-5</c:v>
                </c:pt>
                <c:pt idx="10">
                  <c:v>3.0000000000030003E-5</c:v>
                </c:pt>
                <c:pt idx="11">
                  <c:v>1.8000000000001348E-4</c:v>
                </c:pt>
                <c:pt idx="12">
                  <c:v>2.7999999999997471E-4</c:v>
                </c:pt>
                <c:pt idx="13">
                  <c:v>-5.6999999999998718E-4</c:v>
                </c:pt>
                <c:pt idx="14">
                  <c:v>1.3999999999997348E-4</c:v>
                </c:pt>
                <c:pt idx="15">
                  <c:v>-1.0999999999999899E-4</c:v>
                </c:pt>
                <c:pt idx="16">
                  <c:v>9.000000000000119E-4</c:v>
                </c:pt>
                <c:pt idx="17">
                  <c:v>-1.0000000000000009E-3</c:v>
                </c:pt>
                <c:pt idx="18">
                  <c:v>-6.0000000000004494E-5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2-4777-802A-D3008FC81CFB}"/>
            </c:ext>
          </c:extLst>
        </c:ser>
        <c:ser>
          <c:idx val="6"/>
          <c:order val="6"/>
          <c:tx>
            <c:strRef>
              <c:f>'HeightDiff Comparisons&amp;merge'!$H$51</c:f>
              <c:strCache>
                <c:ptCount val="1"/>
                <c:pt idx="0">
                  <c:v>Δ (T52-M8)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Comparisons&amp;merge'!$H$52:$H$71</c:f>
              <c:numCache>
                <c:formatCode>General</c:formatCode>
                <c:ptCount val="20"/>
                <c:pt idx="0">
                  <c:v>6.0000000000004494E-5</c:v>
                </c:pt>
                <c:pt idx="1">
                  <c:v>4.0000000000012248E-5</c:v>
                </c:pt>
                <c:pt idx="2">
                  <c:v>2.9000000000001247E-4</c:v>
                </c:pt>
                <c:pt idx="3">
                  <c:v>-1.8999999999999573E-4</c:v>
                </c:pt>
                <c:pt idx="4">
                  <c:v>-1.5999999999999348E-4</c:v>
                </c:pt>
                <c:pt idx="5">
                  <c:v>1.0000000000010001E-5</c:v>
                </c:pt>
                <c:pt idx="6">
                  <c:v>1.9999999999992246E-5</c:v>
                </c:pt>
                <c:pt idx="7">
                  <c:v>-3.0000000000002247E-5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1.8000000000001348E-4</c:v>
                </c:pt>
                <c:pt idx="12">
                  <c:v>2.8999999999998471E-4</c:v>
                </c:pt>
                <c:pt idx="13">
                  <c:v>-5.8999999999997943E-4</c:v>
                </c:pt>
                <c:pt idx="14">
                  <c:v>1.2999999999999123E-4</c:v>
                </c:pt>
                <c:pt idx="15">
                  <c:v>-1.5999999999999348E-4</c:v>
                </c:pt>
                <c:pt idx="16">
                  <c:v>9.0999999999999415E-4</c:v>
                </c:pt>
                <c:pt idx="17">
                  <c:v>-1.0100000000000109E-3</c:v>
                </c:pt>
                <c:pt idx="18">
                  <c:v>-6.0000000000004494E-5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2-4777-802A-D3008FC81CFB}"/>
            </c:ext>
          </c:extLst>
        </c:ser>
        <c:ser>
          <c:idx val="7"/>
          <c:order val="7"/>
          <c:tx>
            <c:strRef>
              <c:f>'HeightDiff Comparisons&amp;merge'!$I$51</c:f>
              <c:strCache>
                <c:ptCount val="1"/>
                <c:pt idx="0">
                  <c:v>Δ (T51-M8)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Comparisons&amp;merge'!$I$52:$I$71</c:f>
              <c:numCache>
                <c:formatCode>General</c:formatCode>
                <c:ptCount val="20"/>
                <c:pt idx="0">
                  <c:v>-9.9999999999961231E-6</c:v>
                </c:pt>
                <c:pt idx="1">
                  <c:v>3.0000000000002247E-5</c:v>
                </c:pt>
                <c:pt idx="2">
                  <c:v>2.9999999999999472E-4</c:v>
                </c:pt>
                <c:pt idx="3">
                  <c:v>-2.5000000000000022E-4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2.0000000000020002E-5</c:v>
                </c:pt>
                <c:pt idx="9">
                  <c:v>1.0000000000010001E-5</c:v>
                </c:pt>
                <c:pt idx="10">
                  <c:v>2.0000000000020002E-5</c:v>
                </c:pt>
                <c:pt idx="11">
                  <c:v>2.1000000000001573E-4</c:v>
                </c:pt>
                <c:pt idx="12">
                  <c:v>2.6999999999999247E-4</c:v>
                </c:pt>
                <c:pt idx="13">
                  <c:v>-5.4999999999999494E-4</c:v>
                </c:pt>
                <c:pt idx="14">
                  <c:v>1.4999999999998348E-4</c:v>
                </c:pt>
                <c:pt idx="15">
                  <c:v>-1.4000000000000123E-4</c:v>
                </c:pt>
                <c:pt idx="16">
                  <c:v>8.900000000000019E-4</c:v>
                </c:pt>
                <c:pt idx="17">
                  <c:v>-9.600000000000164E-4</c:v>
                </c:pt>
                <c:pt idx="18">
                  <c:v>-4.9999999999994493E-5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62-4777-802A-D3008FC81CFB}"/>
            </c:ext>
          </c:extLst>
        </c:ser>
        <c:ser>
          <c:idx val="8"/>
          <c:order val="8"/>
          <c:tx>
            <c:strRef>
              <c:f>'HeightDiff Comparisons&amp;merge'!$J$51</c:f>
              <c:strCache>
                <c:ptCount val="1"/>
                <c:pt idx="0">
                  <c:v>Δ (T50-M8)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Comparisons&amp;merge'!$J$52:$J$71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6.0000000000004494E-5</c:v>
                </c:pt>
                <c:pt idx="2">
                  <c:v>2.9999999999999472E-4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6.0000000000004494E-5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2.0000000000020002E-5</c:v>
                </c:pt>
                <c:pt idx="11">
                  <c:v>1.8000000000001348E-4</c:v>
                </c:pt>
                <c:pt idx="12">
                  <c:v>1.9999999999997797E-4</c:v>
                </c:pt>
                <c:pt idx="13">
                  <c:v>-4.499999999999782E-4</c:v>
                </c:pt>
                <c:pt idx="14">
                  <c:v>9.9999999999988987E-5</c:v>
                </c:pt>
                <c:pt idx="15">
                  <c:v>-9.9999999999988987E-5</c:v>
                </c:pt>
                <c:pt idx="16">
                  <c:v>8.5999999999999965E-4</c:v>
                </c:pt>
                <c:pt idx="17">
                  <c:v>-9.6999999999999864E-4</c:v>
                </c:pt>
                <c:pt idx="18">
                  <c:v>-3.0000000000002247E-5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C-41E5-99AC-CBA6312ECA12}"/>
            </c:ext>
          </c:extLst>
        </c:ser>
        <c:ser>
          <c:idx val="9"/>
          <c:order val="9"/>
          <c:tx>
            <c:strRef>
              <c:f>'HeightDiff Comparisons&amp;merge'!$K$51</c:f>
              <c:strCache>
                <c:ptCount val="1"/>
                <c:pt idx="0">
                  <c:v>Δ (T49-M8)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Comparisons&amp;merge'!$K$52:$K$71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4.9999999999994493E-5</c:v>
                </c:pt>
                <c:pt idx="2">
                  <c:v>3.1000000000000472E-4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4.9999999999994493E-5</c:v>
                </c:pt>
                <c:pt idx="6">
                  <c:v>0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-2.9999999999974492E-5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2.7999999999997471E-4</c:v>
                </c:pt>
                <c:pt idx="13">
                  <c:v>-4.599999999999882E-4</c:v>
                </c:pt>
                <c:pt idx="14">
                  <c:v>1.6999999999997573E-4</c:v>
                </c:pt>
                <c:pt idx="15">
                  <c:v>-1.8999999999999573E-4</c:v>
                </c:pt>
                <c:pt idx="16">
                  <c:v>9.8000000000000864E-4</c:v>
                </c:pt>
                <c:pt idx="17">
                  <c:v>-1.0100000000000109E-3</c:v>
                </c:pt>
                <c:pt idx="18">
                  <c:v>-2.0000000000020002E-5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3-41AC-AA92-882322A63CD5}"/>
            </c:ext>
          </c:extLst>
        </c:ser>
        <c:ser>
          <c:idx val="10"/>
          <c:order val="10"/>
          <c:tx>
            <c:strRef>
              <c:f>'HeightDiff Comparisons&amp;merge'!$L$51</c:f>
              <c:strCache>
                <c:ptCount val="1"/>
                <c:pt idx="0">
                  <c:v>Δ (T48-M8)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Comparisons&amp;merge'!$L$52:$L$71</c:f>
              <c:numCache>
                <c:formatCode>General</c:formatCode>
                <c:ptCount val="20"/>
                <c:pt idx="0">
                  <c:v>8.0000000000010618E-5</c:v>
                </c:pt>
                <c:pt idx="1">
                  <c:v>1.0000000000010001E-5</c:v>
                </c:pt>
                <c:pt idx="2">
                  <c:v>2.6000000000001022E-4</c:v>
                </c:pt>
                <c:pt idx="3">
                  <c:v>-1.4999999999998348E-4</c:v>
                </c:pt>
                <c:pt idx="4">
                  <c:v>-1.1999999999998123E-4</c:v>
                </c:pt>
                <c:pt idx="5">
                  <c:v>6.0000000000004494E-5</c:v>
                </c:pt>
                <c:pt idx="6">
                  <c:v>3.9999999999984492E-5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-1.0000000000010001E-5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2.8999999999998471E-4</c:v>
                </c:pt>
                <c:pt idx="13">
                  <c:v>-4.1999999999997595E-4</c:v>
                </c:pt>
                <c:pt idx="14">
                  <c:v>1.7999999999998573E-4</c:v>
                </c:pt>
                <c:pt idx="15">
                  <c:v>-1.5999999999999348E-4</c:v>
                </c:pt>
                <c:pt idx="16">
                  <c:v>1.0000000000000009E-3</c:v>
                </c:pt>
                <c:pt idx="17">
                  <c:v>-9.5000000000000639E-4</c:v>
                </c:pt>
                <c:pt idx="18">
                  <c:v>-2.0000000000020002E-5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2B6-84F3-3F2D33253618}"/>
            </c:ext>
          </c:extLst>
        </c:ser>
        <c:ser>
          <c:idx val="11"/>
          <c:order val="11"/>
          <c:tx>
            <c:strRef>
              <c:f>'HeightDiff Comparisons&amp;merge'!$M$51</c:f>
              <c:strCache>
                <c:ptCount val="1"/>
                <c:pt idx="0">
                  <c:v>Δ (T47-M8)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Comparisons&amp;merge'!$M$52:$M$71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1.9999999999992246E-5</c:v>
                </c:pt>
                <c:pt idx="2">
                  <c:v>2.8000000000000247E-4</c:v>
                </c:pt>
                <c:pt idx="3">
                  <c:v>-1.7000000000000348E-4</c:v>
                </c:pt>
                <c:pt idx="4">
                  <c:v>-6.9999999999986739E-5</c:v>
                </c:pt>
                <c:pt idx="5">
                  <c:v>4.0000000000012248E-5</c:v>
                </c:pt>
                <c:pt idx="6">
                  <c:v>1.9999999999992246E-5</c:v>
                </c:pt>
                <c:pt idx="7">
                  <c:v>1.9999999999992246E-5</c:v>
                </c:pt>
                <c:pt idx="8">
                  <c:v>2.0000000000020002E-5</c:v>
                </c:pt>
                <c:pt idx="9">
                  <c:v>4.9999999999994493E-5</c:v>
                </c:pt>
                <c:pt idx="10">
                  <c:v>4.0000000000040004E-5</c:v>
                </c:pt>
                <c:pt idx="11">
                  <c:v>1.2999999999999123E-4</c:v>
                </c:pt>
                <c:pt idx="12">
                  <c:v>2.9999999999999472E-4</c:v>
                </c:pt>
                <c:pt idx="13">
                  <c:v>-4.099999999999937E-4</c:v>
                </c:pt>
                <c:pt idx="14">
                  <c:v>1.8999999999999573E-4</c:v>
                </c:pt>
                <c:pt idx="15">
                  <c:v>-1.4000000000000123E-4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-4.9999999999994493E-5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E-435A-BA77-E262BB4AD389}"/>
            </c:ext>
          </c:extLst>
        </c:ser>
        <c:ser>
          <c:idx val="12"/>
          <c:order val="12"/>
          <c:tx>
            <c:strRef>
              <c:f>'HeightDiff Comparisons&amp;merge'!$N$51</c:f>
              <c:strCache>
                <c:ptCount val="1"/>
                <c:pt idx="0">
                  <c:v>Δ (T46-M8)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Comparisons&amp;merge'!$N$52:$N$71</c:f>
              <c:numCache>
                <c:formatCode>General</c:formatCode>
                <c:ptCount val="20"/>
                <c:pt idx="0">
                  <c:v>-7.999999999999674E-5</c:v>
                </c:pt>
                <c:pt idx="1">
                  <c:v>3.0000000000002247E-5</c:v>
                </c:pt>
                <c:pt idx="2">
                  <c:v>3.2999999999999696E-4</c:v>
                </c:pt>
                <c:pt idx="3">
                  <c:v>-2.1999999999999797E-4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6.9999999999986739E-5</c:v>
                </c:pt>
                <c:pt idx="7">
                  <c:v>1.9999999999992246E-5</c:v>
                </c:pt>
                <c:pt idx="8">
                  <c:v>7.0000000000014495E-5</c:v>
                </c:pt>
                <c:pt idx="9">
                  <c:v>-1.9999999999964491E-5</c:v>
                </c:pt>
                <c:pt idx="10">
                  <c:v>6.0000000000004494E-5</c:v>
                </c:pt>
                <c:pt idx="11">
                  <c:v>1.5999999999999348E-4</c:v>
                </c:pt>
                <c:pt idx="12">
                  <c:v>2.5000000000000022E-4</c:v>
                </c:pt>
                <c:pt idx="13">
                  <c:v>-3.9000000000000146E-4</c:v>
                </c:pt>
                <c:pt idx="14">
                  <c:v>1.8999999999999573E-4</c:v>
                </c:pt>
                <c:pt idx="15">
                  <c:v>-1.7999999999998573E-4</c:v>
                </c:pt>
                <c:pt idx="16">
                  <c:v>1.0399999999999854E-3</c:v>
                </c:pt>
                <c:pt idx="17">
                  <c:v>-9.3000000000001415E-4</c:v>
                </c:pt>
                <c:pt idx="18">
                  <c:v>1.9999999999992246E-5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5-447B-9B0A-FDF6C6113CD1}"/>
            </c:ext>
          </c:extLst>
        </c:ser>
        <c:ser>
          <c:idx val="13"/>
          <c:order val="13"/>
          <c:tx>
            <c:strRef>
              <c:f>'HeightDiff Comparisons&amp;merge'!$O$51</c:f>
              <c:strCache>
                <c:ptCount val="1"/>
                <c:pt idx="0">
                  <c:v>Δ (T45-M8)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Comparisons&amp;merge'!$O$52:$O$71</c:f>
              <c:numCache>
                <c:formatCode>General</c:formatCode>
                <c:ptCount val="20"/>
                <c:pt idx="0">
                  <c:v>0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-2.0000000000000573E-4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6.0000000000004494E-5</c:v>
                </c:pt>
                <c:pt idx="11">
                  <c:v>1.4000000000000123E-4</c:v>
                </c:pt>
                <c:pt idx="12">
                  <c:v>2.9999999999999472E-4</c:v>
                </c:pt>
                <c:pt idx="13">
                  <c:v>-4.1999999999997595E-4</c:v>
                </c:pt>
                <c:pt idx="14">
                  <c:v>1.5999999999999348E-4</c:v>
                </c:pt>
                <c:pt idx="15">
                  <c:v>-9.0000000000006741E-5</c:v>
                </c:pt>
                <c:pt idx="16">
                  <c:v>9.6999999999999864E-4</c:v>
                </c:pt>
                <c:pt idx="17">
                  <c:v>-9.100000000000219E-4</c:v>
                </c:pt>
                <c:pt idx="18">
                  <c:v>-7.999999999999674E-5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6-4F41-B989-81EA1995A4F9}"/>
            </c:ext>
          </c:extLst>
        </c:ser>
        <c:ser>
          <c:idx val="14"/>
          <c:order val="14"/>
          <c:tx>
            <c:strRef>
              <c:f>'HeightDiff Comparisons&amp;merge'!$P$51</c:f>
              <c:strCache>
                <c:ptCount val="1"/>
                <c:pt idx="0">
                  <c:v>Δ (T44-M8)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Comparisons&amp;merge'!$P$52:$P$71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0</c:v>
                </c:pt>
                <c:pt idx="2">
                  <c:v>3.4000000000000696E-4</c:v>
                </c:pt>
                <c:pt idx="3">
                  <c:v>-1.8999999999999573E-4</c:v>
                </c:pt>
                <c:pt idx="4">
                  <c:v>-1.0999999999999899E-4</c:v>
                </c:pt>
                <c:pt idx="5">
                  <c:v>-3.0000000000002247E-5</c:v>
                </c:pt>
                <c:pt idx="6">
                  <c:v>6.0000000000004494E-5</c:v>
                </c:pt>
                <c:pt idx="7">
                  <c:v>-1.0000000000010001E-5</c:v>
                </c:pt>
                <c:pt idx="8">
                  <c:v>7.0000000000014495E-5</c:v>
                </c:pt>
                <c:pt idx="9">
                  <c:v>-1.0000000000010001E-5</c:v>
                </c:pt>
                <c:pt idx="10">
                  <c:v>2.0000000000020002E-5</c:v>
                </c:pt>
                <c:pt idx="11">
                  <c:v>1.2999999999999123E-4</c:v>
                </c:pt>
                <c:pt idx="12">
                  <c:v>2.5000000000000022E-4</c:v>
                </c:pt>
                <c:pt idx="13">
                  <c:v>-4.099999999999937E-4</c:v>
                </c:pt>
                <c:pt idx="14">
                  <c:v>1.4999999999998348E-4</c:v>
                </c:pt>
                <c:pt idx="15">
                  <c:v>-2.0000000000000573E-4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-4.0000000000012248E-5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5-4F73-8DFC-146E596C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</a:t>
            </a:r>
            <a:r>
              <a:rPr lang="en-AU" baseline="0"/>
              <a:t> of Height Differences between pin 1 &amp; pin 21 (</a:t>
            </a:r>
            <a:r>
              <a:rPr lang="el-GR"/>
              <a:t>Δ</a:t>
            </a:r>
            <a:r>
              <a:rPr lang="en-US"/>
              <a:t>H 1-21)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232550152680021E-2"/>
          <c:y val="6.3021457930889466E-2"/>
          <c:w val="0.89682818259434138"/>
          <c:h val="0.8121096948934361"/>
        </c:manualLayout>
      </c:layout>
      <c:lineChart>
        <c:grouping val="standard"/>
        <c:varyColors val="0"/>
        <c:ser>
          <c:idx val="0"/>
          <c:order val="0"/>
          <c:tx>
            <c:strRef>
              <c:f>'HeightDiff Comparisons'!$A$23</c:f>
              <c:strCache>
                <c:ptCount val="1"/>
                <c:pt idx="0">
                  <c:v>ΔH 1-21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'HeightDiff Comparisons'!$B$1:$AN$1</c:f>
              <c:strCache>
                <c:ptCount val="39"/>
                <c:pt idx="0">
                  <c:v>Test 58:Boya</c:v>
                </c:pt>
                <c:pt idx="1">
                  <c:v>Test 57:Boya</c:v>
                </c:pt>
                <c:pt idx="2">
                  <c:v>Test 56:Boya</c:v>
                </c:pt>
                <c:pt idx="3">
                  <c:v>Test 55:Boya</c:v>
                </c:pt>
                <c:pt idx="4">
                  <c:v>Test 54:Boya</c:v>
                </c:pt>
                <c:pt idx="5">
                  <c:v>Test 53:Boya</c:v>
                </c:pt>
                <c:pt idx="6">
                  <c:v>Test 52:Boya</c:v>
                </c:pt>
                <c:pt idx="7">
                  <c:v>Test 51:Boya</c:v>
                </c:pt>
                <c:pt idx="8">
                  <c:v>Test 50:Boya</c:v>
                </c:pt>
                <c:pt idx="9">
                  <c:v>Test 49:Boya</c:v>
                </c:pt>
                <c:pt idx="10">
                  <c:v>Test 48:Boya</c:v>
                </c:pt>
                <c:pt idx="11">
                  <c:v>Test 47:Boya</c:v>
                </c:pt>
                <c:pt idx="12">
                  <c:v>Test 46:Boya</c:v>
                </c:pt>
                <c:pt idx="13">
                  <c:v>Test 45:Boya</c:v>
                </c:pt>
                <c:pt idx="14">
                  <c:v>Test 44:Boya</c:v>
                </c:pt>
                <c:pt idx="15">
                  <c:v>Test 43:Boya</c:v>
                </c:pt>
                <c:pt idx="16">
                  <c:v> Test 42:Boya</c:v>
                </c:pt>
                <c:pt idx="17">
                  <c:v> Test 41:Boya</c:v>
                </c:pt>
                <c:pt idx="18">
                  <c:v> Test 40:Boya</c:v>
                </c:pt>
                <c:pt idx="19">
                  <c:v> Test 39:Boya</c:v>
                </c:pt>
                <c:pt idx="20">
                  <c:v> Test 38:Boya</c:v>
                </c:pt>
                <c:pt idx="21">
                  <c:v> Test 37:Boya</c:v>
                </c:pt>
                <c:pt idx="22">
                  <c:v> Test 36:Boya</c:v>
                </c:pt>
                <c:pt idx="23">
                  <c:v> Test 35:Boya</c:v>
                </c:pt>
                <c:pt idx="24">
                  <c:v> Test 34:Boya</c:v>
                </c:pt>
                <c:pt idx="25">
                  <c:v> Test 33:Boya</c:v>
                </c:pt>
                <c:pt idx="26">
                  <c:v> Test 32:Boya</c:v>
                </c:pt>
                <c:pt idx="27">
                  <c:v> Test 31:Boya</c:v>
                </c:pt>
                <c:pt idx="28">
                  <c:v> Test 30:Boya</c:v>
                </c:pt>
                <c:pt idx="29">
                  <c:v> Test 29:Boya</c:v>
                </c:pt>
                <c:pt idx="30">
                  <c:v> Test 28:Boya</c:v>
                </c:pt>
                <c:pt idx="31">
                  <c:v>Merge 8:Boya</c:v>
                </c:pt>
                <c:pt idx="32">
                  <c:v>Merge 7:Boya</c:v>
                </c:pt>
                <c:pt idx="33">
                  <c:v>Merge 6:Boya</c:v>
                </c:pt>
                <c:pt idx="34">
                  <c:v>Merge 5:Boya</c:v>
                </c:pt>
                <c:pt idx="35">
                  <c:v>Merge 4:Boya</c:v>
                </c:pt>
                <c:pt idx="36">
                  <c:v>Merge 3:Boya</c:v>
                </c:pt>
                <c:pt idx="37">
                  <c:v>Merge 2:Boya</c:v>
                </c:pt>
                <c:pt idx="38">
                  <c:v>Merge 1:Boya</c:v>
                </c:pt>
              </c:strCache>
            </c:strRef>
          </c:cat>
          <c:val>
            <c:numRef>
              <c:f>'HeightDiff Comparisons'!$B$23:$AN$23</c:f>
              <c:numCache>
                <c:formatCode>General</c:formatCode>
                <c:ptCount val="39"/>
                <c:pt idx="0">
                  <c:v>3.8031000000000001</c:v>
                </c:pt>
                <c:pt idx="1">
                  <c:v>3.8039199999999993</c:v>
                </c:pt>
                <c:pt idx="2">
                  <c:v>3.8034500000000002</c:v>
                </c:pt>
                <c:pt idx="3">
                  <c:v>3.8031100000000002</c:v>
                </c:pt>
                <c:pt idx="4">
                  <c:v>3.8028500000000003</c:v>
                </c:pt>
                <c:pt idx="5">
                  <c:v>3.8030100000000009</c:v>
                </c:pt>
                <c:pt idx="6">
                  <c:v>3.8029300000000004</c:v>
                </c:pt>
                <c:pt idx="7">
                  <c:v>3.8030199999999992</c:v>
                </c:pt>
                <c:pt idx="8">
                  <c:v>3.80294</c:v>
                </c:pt>
                <c:pt idx="9">
                  <c:v>3.8032000000000008</c:v>
                </c:pt>
                <c:pt idx="10">
                  <c:v>3.8035400000000004</c:v>
                </c:pt>
                <c:pt idx="11">
                  <c:v>3.8036099999999995</c:v>
                </c:pt>
                <c:pt idx="12">
                  <c:v>3.8036500000000002</c:v>
                </c:pt>
                <c:pt idx="13">
                  <c:v>3.8035899999999994</c:v>
                </c:pt>
                <c:pt idx="14">
                  <c:v>3.8033199999999998</c:v>
                </c:pt>
                <c:pt idx="15">
                  <c:v>3.8031999999999999</c:v>
                </c:pt>
                <c:pt idx="16">
                  <c:v>3.8029299999999999</c:v>
                </c:pt>
                <c:pt idx="17">
                  <c:v>3.8032800000000004</c:v>
                </c:pt>
                <c:pt idx="18">
                  <c:v>3.8029600000000001</c:v>
                </c:pt>
                <c:pt idx="19">
                  <c:v>3.8037000000000005</c:v>
                </c:pt>
                <c:pt idx="20">
                  <c:v>3.8038399999999997</c:v>
                </c:pt>
                <c:pt idx="21">
                  <c:v>3.8036899999999996</c:v>
                </c:pt>
                <c:pt idx="22">
                  <c:v>3.8036900000000005</c:v>
                </c:pt>
                <c:pt idx="23">
                  <c:v>3.8032100000000004</c:v>
                </c:pt>
                <c:pt idx="24">
                  <c:v>3.8030200000000001</c:v>
                </c:pt>
                <c:pt idx="25">
                  <c:v>3.80301</c:v>
                </c:pt>
                <c:pt idx="26">
                  <c:v>3.8033800000000006</c:v>
                </c:pt>
                <c:pt idx="27">
                  <c:v>3.8035799999999997</c:v>
                </c:pt>
                <c:pt idx="28">
                  <c:v>3.8037500000000004</c:v>
                </c:pt>
                <c:pt idx="29">
                  <c:v>3.8038000000000003</c:v>
                </c:pt>
                <c:pt idx="30">
                  <c:v>3.8037500000000009</c:v>
                </c:pt>
                <c:pt idx="31">
                  <c:v>3.8031700000000002</c:v>
                </c:pt>
                <c:pt idx="32">
                  <c:v>3.8037800000000006</c:v>
                </c:pt>
                <c:pt idx="33">
                  <c:v>3.80314</c:v>
                </c:pt>
                <c:pt idx="34">
                  <c:v>3.8036999999999996</c:v>
                </c:pt>
                <c:pt idx="35">
                  <c:v>3.8038900000000009</c:v>
                </c:pt>
                <c:pt idx="36">
                  <c:v>3.8029499999999996</c:v>
                </c:pt>
                <c:pt idx="37">
                  <c:v>3.8029900000000008</c:v>
                </c:pt>
                <c:pt idx="38">
                  <c:v>3.8039099999999997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9-465F-97CC-41F37114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97192"/>
        <c:axId val="813291288"/>
      </c:lineChart>
      <c:catAx>
        <c:axId val="81329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1288"/>
        <c:crosses val="autoZero"/>
        <c:auto val="1"/>
        <c:lblAlgn val="ctr"/>
        <c:lblOffset val="100"/>
        <c:noMultiLvlLbl val="0"/>
      </c:catAx>
      <c:valAx>
        <c:axId val="81329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AU"/>
                  <a:t>H 1-21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7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Comparison of Height Differences between pin 1 &amp; pin 21 (</a:t>
            </a:r>
            <a:r>
              <a:rPr lang="el-GR" sz="1800" b="0" i="0" baseline="0">
                <a:effectLst/>
              </a:rPr>
              <a:t>Δ</a:t>
            </a:r>
            <a:r>
              <a:rPr lang="en-US" sz="1800" b="0" i="0" baseline="0">
                <a:effectLst/>
              </a:rPr>
              <a:t>H 1-21) over time</a:t>
            </a:r>
            <a:endParaRPr lang="en-A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734894792653337E-2"/>
          <c:y val="8.129235914532397E-2"/>
          <c:w val="0.96837263080191238"/>
          <c:h val="0.908324378564477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Comparisons'!$A$27</c:f>
              <c:strCache>
                <c:ptCount val="1"/>
                <c:pt idx="0">
                  <c:v> 1-2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Comparisons'!$C$27:$AM$27</c:f>
              <c:numCache>
                <c:formatCode>General</c:formatCode>
                <c:ptCount val="37"/>
                <c:pt idx="0">
                  <c:v>2.0000000000006124E-5</c:v>
                </c:pt>
                <c:pt idx="1">
                  <c:v>1.1999999999999511E-4</c:v>
                </c:pt>
                <c:pt idx="2">
                  <c:v>2.0000000000006124E-5</c:v>
                </c:pt>
                <c:pt idx="3">
                  <c:v>-8.0000000000010618E-5</c:v>
                </c:pt>
                <c:pt idx="4">
                  <c:v>-1.9999999999992246E-5</c:v>
                </c:pt>
                <c:pt idx="5">
                  <c:v>7.0000000000000617E-5</c:v>
                </c:pt>
                <c:pt idx="6">
                  <c:v>1.0000000000000286E-4</c:v>
                </c:pt>
                <c:pt idx="7">
                  <c:v>-9.0000000000006741E-5</c:v>
                </c:pt>
                <c:pt idx="8">
                  <c:v>-1.0000000000000286E-4</c:v>
                </c:pt>
                <c:pt idx="9">
                  <c:v>7.0000000000000617E-5</c:v>
                </c:pt>
                <c:pt idx="10">
                  <c:v>9.0000000000006741E-5</c:v>
                </c:pt>
                <c:pt idx="11">
                  <c:v>-7.999999999999674E-5</c:v>
                </c:pt>
                <c:pt idx="12">
                  <c:v>-3.0000000000002247E-5</c:v>
                </c:pt>
                <c:pt idx="13">
                  <c:v>-5.0000000000008371E-5</c:v>
                </c:pt>
                <c:pt idx="14">
                  <c:v>1.7000000000000348E-4</c:v>
                </c:pt>
                <c:pt idx="15">
                  <c:v>-1.9999999999999185E-4</c:v>
                </c:pt>
                <c:pt idx="16">
                  <c:v>3.9999999999999758E-4</c:v>
                </c:pt>
                <c:pt idx="17">
                  <c:v>-2.3000000000000798E-4</c:v>
                </c:pt>
                <c:pt idx="18">
                  <c:v>6.0000000000004494E-5</c:v>
                </c:pt>
                <c:pt idx="19">
                  <c:v>-2.0000000000006124E-5</c:v>
                </c:pt>
                <c:pt idx="20">
                  <c:v>-1.799999999999996E-4</c:v>
                </c:pt>
                <c:pt idx="21">
                  <c:v>3.0000000000002247E-5</c:v>
                </c:pt>
                <c:pt idx="22">
                  <c:v>0</c:v>
                </c:pt>
                <c:pt idx="23">
                  <c:v>6.0000000000004494E-5</c:v>
                </c:pt>
                <c:pt idx="24">
                  <c:v>3.0000000000002247E-5</c:v>
                </c:pt>
                <c:pt idx="25">
                  <c:v>-2.0000000000006124E-5</c:v>
                </c:pt>
                <c:pt idx="26">
                  <c:v>-1.0000000000000286E-4</c:v>
                </c:pt>
                <c:pt idx="27">
                  <c:v>6.0000000000004494E-5</c:v>
                </c:pt>
                <c:pt idx="28">
                  <c:v>-3.999999999999837E-5</c:v>
                </c:pt>
                <c:pt idx="29">
                  <c:v>6.0000000000004494E-5</c:v>
                </c:pt>
                <c:pt idx="30">
                  <c:v>-3.0000000000002247E-5</c:v>
                </c:pt>
                <c:pt idx="31">
                  <c:v>0</c:v>
                </c:pt>
                <c:pt idx="32">
                  <c:v>-2.0000000000006124E-5</c:v>
                </c:pt>
                <c:pt idx="33">
                  <c:v>-3.999999999999837E-5</c:v>
                </c:pt>
                <c:pt idx="34">
                  <c:v>3.999999999999837E-5</c:v>
                </c:pt>
                <c:pt idx="35">
                  <c:v>6.0000000000004494E-5</c:v>
                </c:pt>
                <c:pt idx="36">
                  <c:v>-1.799999999999996E-4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1-4CD3-BCB7-A75A12B19403}"/>
            </c:ext>
          </c:extLst>
        </c:ser>
        <c:ser>
          <c:idx val="1"/>
          <c:order val="1"/>
          <c:tx>
            <c:strRef>
              <c:f>'HeightDiff Comparisons'!$A$28</c:f>
              <c:strCache>
                <c:ptCount val="1"/>
                <c:pt idx="0">
                  <c:v> 2-3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Comparisons'!$C$28:$AM$28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-9.9999999999822453E-6</c:v>
                </c:pt>
                <c:pt idx="2">
                  <c:v>-5.0000000000022249E-5</c:v>
                </c:pt>
                <c:pt idx="3">
                  <c:v>3.0000000000002247E-5</c:v>
                </c:pt>
                <c:pt idx="4">
                  <c:v>0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3.9999999999984492E-5</c:v>
                </c:pt>
                <c:pt idx="9">
                  <c:v>-9.9999999999822453E-6</c:v>
                </c:pt>
                <c:pt idx="10">
                  <c:v>-1.0000000000010001E-5</c:v>
                </c:pt>
                <c:pt idx="11">
                  <c:v>-4.0000000000012248E-5</c:v>
                </c:pt>
                <c:pt idx="12">
                  <c:v>7.0000000000014495E-5</c:v>
                </c:pt>
                <c:pt idx="13">
                  <c:v>3.0000000000002247E-5</c:v>
                </c:pt>
                <c:pt idx="14">
                  <c:v>-1.0000000000001674E-4</c:v>
                </c:pt>
                <c:pt idx="15">
                  <c:v>8.0000000000024496E-5</c:v>
                </c:pt>
                <c:pt idx="16">
                  <c:v>-9.0000000000006741E-5</c:v>
                </c:pt>
                <c:pt idx="17">
                  <c:v>0</c:v>
                </c:pt>
                <c:pt idx="18">
                  <c:v>3.9999999999984492E-5</c:v>
                </c:pt>
                <c:pt idx="19">
                  <c:v>-1.9999999999992246E-5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-9.9999999999822453E-6</c:v>
                </c:pt>
                <c:pt idx="23">
                  <c:v>0</c:v>
                </c:pt>
                <c:pt idx="24">
                  <c:v>9.9999999999822453E-6</c:v>
                </c:pt>
                <c:pt idx="25">
                  <c:v>-4.9999999999994493E-5</c:v>
                </c:pt>
                <c:pt idx="26">
                  <c:v>7.0000000000014495E-5</c:v>
                </c:pt>
                <c:pt idx="27">
                  <c:v>-4.0000000000012248E-5</c:v>
                </c:pt>
                <c:pt idx="28">
                  <c:v>6.0000000000004494E-5</c:v>
                </c:pt>
                <c:pt idx="29">
                  <c:v>-3.0000000000002247E-5</c:v>
                </c:pt>
                <c:pt idx="30">
                  <c:v>-4.9999999999994493E-5</c:v>
                </c:pt>
                <c:pt idx="31">
                  <c:v>0</c:v>
                </c:pt>
                <c:pt idx="32">
                  <c:v>6.0000000000004494E-5</c:v>
                </c:pt>
                <c:pt idx="33">
                  <c:v>-2.0000000000020002E-5</c:v>
                </c:pt>
                <c:pt idx="34">
                  <c:v>-3.0000000000002247E-5</c:v>
                </c:pt>
                <c:pt idx="35">
                  <c:v>-3.9999999999984492E-5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1-4CD3-BCB7-A75A12B19403}"/>
            </c:ext>
          </c:extLst>
        </c:ser>
        <c:ser>
          <c:idx val="2"/>
          <c:order val="2"/>
          <c:tx>
            <c:strRef>
              <c:f>'HeightDiff Comparisons'!$A$29</c:f>
              <c:strCache>
                <c:ptCount val="1"/>
                <c:pt idx="0">
                  <c:v> 3-4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Comparisons'!$C$29:$AM$29</c:f>
              <c:numCache>
                <c:formatCode>General</c:formatCode>
                <c:ptCount val="37"/>
                <c:pt idx="0">
                  <c:v>-3.0000000000002247E-5</c:v>
                </c:pt>
                <c:pt idx="1">
                  <c:v>1.0000000000010001E-5</c:v>
                </c:pt>
                <c:pt idx="2">
                  <c:v>9.9999999999988987E-5</c:v>
                </c:pt>
                <c:pt idx="3">
                  <c:v>-6.9999999999986739E-5</c:v>
                </c:pt>
                <c:pt idx="4">
                  <c:v>-2.0000000000020002E-5</c:v>
                </c:pt>
                <c:pt idx="5">
                  <c:v>-9.9999999999822453E-6</c:v>
                </c:pt>
                <c:pt idx="6">
                  <c:v>0</c:v>
                </c:pt>
                <c:pt idx="7">
                  <c:v>-1.0000000000010001E-5</c:v>
                </c:pt>
                <c:pt idx="8">
                  <c:v>4.9999999999994493E-5</c:v>
                </c:pt>
                <c:pt idx="9">
                  <c:v>-1.9999999999992246E-5</c:v>
                </c:pt>
                <c:pt idx="10">
                  <c:v>-4.9999999999994493E-5</c:v>
                </c:pt>
                <c:pt idx="11">
                  <c:v>-1.0000000000010001E-5</c:v>
                </c:pt>
                <c:pt idx="12">
                  <c:v>0</c:v>
                </c:pt>
                <c:pt idx="13">
                  <c:v>1.8000000000001348E-4</c:v>
                </c:pt>
                <c:pt idx="14">
                  <c:v>-1.0000000000001674E-4</c:v>
                </c:pt>
                <c:pt idx="15">
                  <c:v>1.0000000000010001E-5</c:v>
                </c:pt>
                <c:pt idx="16">
                  <c:v>6.0000000000004494E-5</c:v>
                </c:pt>
                <c:pt idx="17">
                  <c:v>-1.0000000000001674E-4</c:v>
                </c:pt>
                <c:pt idx="18">
                  <c:v>2.0000000000020002E-5</c:v>
                </c:pt>
                <c:pt idx="19">
                  <c:v>4.9999999999994493E-5</c:v>
                </c:pt>
                <c:pt idx="20">
                  <c:v>4.9999999999994493E-5</c:v>
                </c:pt>
                <c:pt idx="21">
                  <c:v>1.5000000000001124E-4</c:v>
                </c:pt>
                <c:pt idx="22">
                  <c:v>-1.8000000000001348E-4</c:v>
                </c:pt>
                <c:pt idx="23">
                  <c:v>-3.0000000000002247E-5</c:v>
                </c:pt>
                <c:pt idx="24">
                  <c:v>3.0000000000002247E-5</c:v>
                </c:pt>
                <c:pt idx="25">
                  <c:v>-3.0000000000002247E-5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6.0000000000004494E-5</c:v>
                </c:pt>
                <c:pt idx="29">
                  <c:v>2.0000000000000573E-4</c:v>
                </c:pt>
                <c:pt idx="30">
                  <c:v>7.999999999999674E-5</c:v>
                </c:pt>
                <c:pt idx="31">
                  <c:v>-2.1999999999999797E-4</c:v>
                </c:pt>
                <c:pt idx="32">
                  <c:v>-7.999999999999674E-5</c:v>
                </c:pt>
                <c:pt idx="33">
                  <c:v>9.9999999999988987E-5</c:v>
                </c:pt>
                <c:pt idx="34">
                  <c:v>-9.9999999999822453E-6</c:v>
                </c:pt>
                <c:pt idx="35">
                  <c:v>9.9999999999822453E-6</c:v>
                </c:pt>
                <c:pt idx="36">
                  <c:v>1.2000000000000899E-4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61-4CD3-BCB7-A75A12B19403}"/>
            </c:ext>
          </c:extLst>
        </c:ser>
        <c:ser>
          <c:idx val="3"/>
          <c:order val="3"/>
          <c:tx>
            <c:strRef>
              <c:f>'HeightDiff Comparisons'!$A$30</c:f>
              <c:strCache>
                <c:ptCount val="1"/>
                <c:pt idx="0">
                  <c:v> 4-5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Comparisons'!$C$30:$AM$30</c:f>
              <c:numCache>
                <c:formatCode>General</c:formatCode>
                <c:ptCount val="37"/>
                <c:pt idx="0">
                  <c:v>6.0000000000004494E-5</c:v>
                </c:pt>
                <c:pt idx="1">
                  <c:v>-4.9999999999994493E-5</c:v>
                </c:pt>
                <c:pt idx="2">
                  <c:v>-7.0000000000014495E-5</c:v>
                </c:pt>
                <c:pt idx="3">
                  <c:v>7.0000000000014495E-5</c:v>
                </c:pt>
                <c:pt idx="4">
                  <c:v>0</c:v>
                </c:pt>
                <c:pt idx="5">
                  <c:v>6.0000000000004494E-5</c:v>
                </c:pt>
                <c:pt idx="6">
                  <c:v>-4.9999999999994493E-5</c:v>
                </c:pt>
                <c:pt idx="7">
                  <c:v>0</c:v>
                </c:pt>
                <c:pt idx="8">
                  <c:v>-5.0000000000022249E-5</c:v>
                </c:pt>
                <c:pt idx="9">
                  <c:v>2.0000000000020002E-5</c:v>
                </c:pt>
                <c:pt idx="10">
                  <c:v>4.9999999999994493E-5</c:v>
                </c:pt>
                <c:pt idx="11">
                  <c:v>-1.9999999999992246E-5</c:v>
                </c:pt>
                <c:pt idx="12">
                  <c:v>-1.0000000000010001E-5</c:v>
                </c:pt>
                <c:pt idx="13">
                  <c:v>-1.0999999999999899E-4</c:v>
                </c:pt>
                <c:pt idx="14">
                  <c:v>1.2999999999999123E-4</c:v>
                </c:pt>
                <c:pt idx="15">
                  <c:v>-6.9999999999986739E-5</c:v>
                </c:pt>
                <c:pt idx="16">
                  <c:v>3.0000000000002247E-5</c:v>
                </c:pt>
                <c:pt idx="17">
                  <c:v>5.9999999999976739E-5</c:v>
                </c:pt>
                <c:pt idx="18">
                  <c:v>-6.9999999999986739E-5</c:v>
                </c:pt>
                <c:pt idx="19">
                  <c:v>-4.0000000000012248E-5</c:v>
                </c:pt>
                <c:pt idx="20">
                  <c:v>4.0000000000012248E-5</c:v>
                </c:pt>
                <c:pt idx="21">
                  <c:v>-2.3999999999999022E-4</c:v>
                </c:pt>
                <c:pt idx="22">
                  <c:v>2.5999999999998247E-4</c:v>
                </c:pt>
                <c:pt idx="23">
                  <c:v>4.9999999999994493E-5</c:v>
                </c:pt>
                <c:pt idx="24">
                  <c:v>-5.9999999999976739E-5</c:v>
                </c:pt>
                <c:pt idx="25">
                  <c:v>6.9999999999986739E-5</c:v>
                </c:pt>
                <c:pt idx="26">
                  <c:v>-6.0000000000004494E-5</c:v>
                </c:pt>
                <c:pt idx="27">
                  <c:v>3.0000000000002247E-5</c:v>
                </c:pt>
                <c:pt idx="28">
                  <c:v>1.9999999999992246E-5</c:v>
                </c:pt>
                <c:pt idx="29">
                  <c:v>-2.2999999999998022E-4</c:v>
                </c:pt>
                <c:pt idx="30">
                  <c:v>-4.9999999999994493E-5</c:v>
                </c:pt>
                <c:pt idx="31">
                  <c:v>1.7999999999998573E-4</c:v>
                </c:pt>
                <c:pt idx="32">
                  <c:v>-1.9999999999992246E-5</c:v>
                </c:pt>
                <c:pt idx="33">
                  <c:v>-2.6000000000001022E-4</c:v>
                </c:pt>
                <c:pt idx="34">
                  <c:v>4.9999999999994493E-5</c:v>
                </c:pt>
                <c:pt idx="35">
                  <c:v>0</c:v>
                </c:pt>
                <c:pt idx="36">
                  <c:v>-2.5999999999998247E-4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61-4CD3-BCB7-A75A12B19403}"/>
            </c:ext>
          </c:extLst>
        </c:ser>
        <c:ser>
          <c:idx val="4"/>
          <c:order val="4"/>
          <c:tx>
            <c:strRef>
              <c:f>'HeightDiff Comparisons'!$A$31</c:f>
              <c:strCache>
                <c:ptCount val="1"/>
                <c:pt idx="0">
                  <c:v> 5-6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Comparisons'!$C$31:$AM$31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3.0000000000002247E-5</c:v>
                </c:pt>
                <c:pt idx="2">
                  <c:v>0</c:v>
                </c:pt>
                <c:pt idx="3">
                  <c:v>-3.0000000000002247E-5</c:v>
                </c:pt>
                <c:pt idx="4">
                  <c:v>9.0000000000006741E-5</c:v>
                </c:pt>
                <c:pt idx="5">
                  <c:v>-7.999999999999674E-5</c:v>
                </c:pt>
                <c:pt idx="6">
                  <c:v>1.9999999999992246E-5</c:v>
                </c:pt>
                <c:pt idx="7">
                  <c:v>0</c:v>
                </c:pt>
                <c:pt idx="8">
                  <c:v>1.9999999999992246E-5</c:v>
                </c:pt>
                <c:pt idx="9">
                  <c:v>-4.9999999999994493E-5</c:v>
                </c:pt>
                <c:pt idx="10">
                  <c:v>-1.9999999999992246E-5</c:v>
                </c:pt>
                <c:pt idx="11">
                  <c:v>3.0000000000002247E-5</c:v>
                </c:pt>
                <c:pt idx="12">
                  <c:v>3.0000000000002247E-5</c:v>
                </c:pt>
                <c:pt idx="13">
                  <c:v>-4.0000000000012248E-5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-4.0000000000012248E-5</c:v>
                </c:pt>
                <c:pt idx="17">
                  <c:v>-3.9999999999984492E-5</c:v>
                </c:pt>
                <c:pt idx="18">
                  <c:v>-1.0000000000010001E-5</c:v>
                </c:pt>
                <c:pt idx="19">
                  <c:v>3.0000000000002247E-5</c:v>
                </c:pt>
                <c:pt idx="20">
                  <c:v>-1.9999999999992246E-5</c:v>
                </c:pt>
                <c:pt idx="21">
                  <c:v>-4.0000000000012248E-5</c:v>
                </c:pt>
                <c:pt idx="22">
                  <c:v>-9.9999999999822453E-6</c:v>
                </c:pt>
                <c:pt idx="23">
                  <c:v>1.9999999999992246E-5</c:v>
                </c:pt>
                <c:pt idx="24">
                  <c:v>-1.0000000000010001E-5</c:v>
                </c:pt>
                <c:pt idx="25">
                  <c:v>0</c:v>
                </c:pt>
                <c:pt idx="26">
                  <c:v>1.0000000000010001E-5</c:v>
                </c:pt>
                <c:pt idx="27">
                  <c:v>1.0000000000010001E-5</c:v>
                </c:pt>
                <c:pt idx="28">
                  <c:v>-1.0000000000001674E-4</c:v>
                </c:pt>
                <c:pt idx="29">
                  <c:v>7.0000000000014495E-5</c:v>
                </c:pt>
                <c:pt idx="30">
                  <c:v>-7.0000000000014495E-5</c:v>
                </c:pt>
                <c:pt idx="31">
                  <c:v>1.0999999999999899E-4</c:v>
                </c:pt>
                <c:pt idx="32">
                  <c:v>4.9999999999994493E-5</c:v>
                </c:pt>
                <c:pt idx="33">
                  <c:v>1.1000000000002674E-4</c:v>
                </c:pt>
                <c:pt idx="34">
                  <c:v>5.9999999999976739E-5</c:v>
                </c:pt>
                <c:pt idx="35">
                  <c:v>1.0000000000010001E-5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1-4CD3-BCB7-A75A12B19403}"/>
            </c:ext>
          </c:extLst>
        </c:ser>
        <c:ser>
          <c:idx val="5"/>
          <c:order val="5"/>
          <c:tx>
            <c:strRef>
              <c:f>'HeightDiff Comparisons'!$A$32</c:f>
              <c:strCache>
                <c:ptCount val="1"/>
                <c:pt idx="0">
                  <c:v> 6-7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Comparisons'!$C$32:$AM$32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-1.9999999999992246E-5</c:v>
                </c:pt>
                <c:pt idx="2">
                  <c:v>3.9999999999984492E-5</c:v>
                </c:pt>
                <c:pt idx="3">
                  <c:v>0</c:v>
                </c:pt>
                <c:pt idx="4">
                  <c:v>-3.0000000000002247E-5</c:v>
                </c:pt>
                <c:pt idx="5">
                  <c:v>-1.9999999999992246E-5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-1.0000000000010001E-5</c:v>
                </c:pt>
                <c:pt idx="9">
                  <c:v>1.9999999999992246E-5</c:v>
                </c:pt>
                <c:pt idx="10">
                  <c:v>0</c:v>
                </c:pt>
                <c:pt idx="11">
                  <c:v>1.0000000000010001E-5</c:v>
                </c:pt>
                <c:pt idx="12">
                  <c:v>6.0000000000004494E-5</c:v>
                </c:pt>
                <c:pt idx="13">
                  <c:v>-1.9999999999992246E-5</c:v>
                </c:pt>
                <c:pt idx="14">
                  <c:v>-2.0000000000020002E-5</c:v>
                </c:pt>
                <c:pt idx="15">
                  <c:v>-1.1999999999998123E-4</c:v>
                </c:pt>
                <c:pt idx="16">
                  <c:v>1.2999999999999123E-4</c:v>
                </c:pt>
                <c:pt idx="17">
                  <c:v>-1.9999999999992246E-5</c:v>
                </c:pt>
                <c:pt idx="18">
                  <c:v>-3.0000000000002247E-5</c:v>
                </c:pt>
                <c:pt idx="19">
                  <c:v>-2.0000000000020002E-5</c:v>
                </c:pt>
                <c:pt idx="20">
                  <c:v>-1.9999999999992246E-5</c:v>
                </c:pt>
                <c:pt idx="21">
                  <c:v>1.3000000000001899E-4</c:v>
                </c:pt>
                <c:pt idx="22">
                  <c:v>-8.0000000000024496E-5</c:v>
                </c:pt>
                <c:pt idx="23">
                  <c:v>1.0000000000010001E-5</c:v>
                </c:pt>
                <c:pt idx="24">
                  <c:v>-4.9999999999994493E-5</c:v>
                </c:pt>
                <c:pt idx="25">
                  <c:v>6.0000000000004494E-5</c:v>
                </c:pt>
                <c:pt idx="26">
                  <c:v>-3.0000000000002247E-5</c:v>
                </c:pt>
                <c:pt idx="27">
                  <c:v>-3.0000000000002247E-5</c:v>
                </c:pt>
                <c:pt idx="28">
                  <c:v>3.9999999999984492E-5</c:v>
                </c:pt>
                <c:pt idx="29">
                  <c:v>4.0000000000012248E-5</c:v>
                </c:pt>
                <c:pt idx="30">
                  <c:v>-3.0000000000002247E-5</c:v>
                </c:pt>
                <c:pt idx="31">
                  <c:v>3.0000000000002247E-5</c:v>
                </c:pt>
                <c:pt idx="32">
                  <c:v>-1.9999999999992246E-5</c:v>
                </c:pt>
                <c:pt idx="33">
                  <c:v>-5.0000000000022249E-5</c:v>
                </c:pt>
                <c:pt idx="34">
                  <c:v>9.0000000000006741E-5</c:v>
                </c:pt>
                <c:pt idx="35">
                  <c:v>-1.9999999999992246E-5</c:v>
                </c:pt>
                <c:pt idx="36">
                  <c:v>-4.9999999999994493E-5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61-4CD3-BCB7-A75A12B19403}"/>
            </c:ext>
          </c:extLst>
        </c:ser>
        <c:ser>
          <c:idx val="6"/>
          <c:order val="6"/>
          <c:tx>
            <c:strRef>
              <c:f>'HeightDiff Comparisons'!$A$33</c:f>
              <c:strCache>
                <c:ptCount val="1"/>
                <c:pt idx="0">
                  <c:v> 7-8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Comparisons'!$C$33:$AM$33</c:f>
              <c:numCache>
                <c:formatCode>General</c:formatCode>
                <c:ptCount val="37"/>
                <c:pt idx="0">
                  <c:v>4.9999999999994493E-5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-4.9999999999994493E-5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7.0000000000014495E-5</c:v>
                </c:pt>
                <c:pt idx="7">
                  <c:v>-4.0000000000012248E-5</c:v>
                </c:pt>
                <c:pt idx="8">
                  <c:v>-3.9999999999984492E-5</c:v>
                </c:pt>
                <c:pt idx="9">
                  <c:v>1.9999999999992246E-5</c:v>
                </c:pt>
                <c:pt idx="10">
                  <c:v>-4.9999999999994493E-5</c:v>
                </c:pt>
                <c:pt idx="11">
                  <c:v>9.9999999999988987E-5</c:v>
                </c:pt>
                <c:pt idx="12">
                  <c:v>-9.0000000000006741E-5</c:v>
                </c:pt>
                <c:pt idx="13">
                  <c:v>2.0000000000020002E-5</c:v>
                </c:pt>
                <c:pt idx="14">
                  <c:v>9.9999999999822453E-6</c:v>
                </c:pt>
                <c:pt idx="15">
                  <c:v>-9.0000000000006741E-5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3.0000000000002247E-5</c:v>
                </c:pt>
                <c:pt idx="19">
                  <c:v>-1.0000000000010001E-5</c:v>
                </c:pt>
                <c:pt idx="20">
                  <c:v>3.0000000000002247E-5</c:v>
                </c:pt>
                <c:pt idx="21">
                  <c:v>-1.9999999999992246E-5</c:v>
                </c:pt>
                <c:pt idx="22">
                  <c:v>3.9999999999984492E-5</c:v>
                </c:pt>
                <c:pt idx="23">
                  <c:v>-3.9999999999984492E-5</c:v>
                </c:pt>
                <c:pt idx="24">
                  <c:v>-1.0000000000010001E-5</c:v>
                </c:pt>
                <c:pt idx="25">
                  <c:v>-4.9999999999994493E-5</c:v>
                </c:pt>
                <c:pt idx="26">
                  <c:v>6.9999999999986739E-5</c:v>
                </c:pt>
                <c:pt idx="27">
                  <c:v>1.0000000000010001E-5</c:v>
                </c:pt>
                <c:pt idx="28">
                  <c:v>-7.0000000000014495E-5</c:v>
                </c:pt>
                <c:pt idx="29">
                  <c:v>9.0000000000006741E-5</c:v>
                </c:pt>
                <c:pt idx="30">
                  <c:v>0</c:v>
                </c:pt>
                <c:pt idx="31">
                  <c:v>-3.9999999999984492E-5</c:v>
                </c:pt>
                <c:pt idx="32">
                  <c:v>-4.0000000000012248E-5</c:v>
                </c:pt>
                <c:pt idx="33">
                  <c:v>1.0000000000010001E-5</c:v>
                </c:pt>
                <c:pt idx="34">
                  <c:v>1.9999999999992246E-5</c:v>
                </c:pt>
                <c:pt idx="35">
                  <c:v>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61-4CD3-BCB7-A75A12B19403}"/>
            </c:ext>
          </c:extLst>
        </c:ser>
        <c:ser>
          <c:idx val="7"/>
          <c:order val="7"/>
          <c:tx>
            <c:strRef>
              <c:f>'HeightDiff Comparisons'!$A$34</c:f>
              <c:strCache>
                <c:ptCount val="1"/>
                <c:pt idx="0">
                  <c:v> 8-9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Comparisons'!$C$34:$AM$34</c:f>
              <c:numCache>
                <c:formatCode>General</c:formatCode>
                <c:ptCount val="37"/>
                <c:pt idx="0">
                  <c:v>-1.9999999999992246E-5</c:v>
                </c:pt>
                <c:pt idx="1">
                  <c:v>4.9999999999994493E-5</c:v>
                </c:pt>
                <c:pt idx="2">
                  <c:v>4.9999999999994493E-5</c:v>
                </c:pt>
                <c:pt idx="3">
                  <c:v>-6.9999999999986739E-5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-4.9999999999994493E-5</c:v>
                </c:pt>
                <c:pt idx="7">
                  <c:v>1.0000000000010001E-5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9.9999999999822453E-6</c:v>
                </c:pt>
                <c:pt idx="12">
                  <c:v>2.0000000000020002E-5</c:v>
                </c:pt>
                <c:pt idx="13">
                  <c:v>0</c:v>
                </c:pt>
                <c:pt idx="14">
                  <c:v>-2.0000000000020002E-5</c:v>
                </c:pt>
                <c:pt idx="15">
                  <c:v>1.0000000000001674E-4</c:v>
                </c:pt>
                <c:pt idx="16">
                  <c:v>-1.0000000000001674E-4</c:v>
                </c:pt>
                <c:pt idx="17">
                  <c:v>1.0000000000010001E-5</c:v>
                </c:pt>
                <c:pt idx="18">
                  <c:v>-4.0000000000012248E-5</c:v>
                </c:pt>
                <c:pt idx="19">
                  <c:v>1.0000000000010001E-5</c:v>
                </c:pt>
                <c:pt idx="20">
                  <c:v>4.9999999999994493E-5</c:v>
                </c:pt>
                <c:pt idx="21">
                  <c:v>-3.9999999999984492E-5</c:v>
                </c:pt>
                <c:pt idx="22">
                  <c:v>3.9999999999984492E-5</c:v>
                </c:pt>
                <c:pt idx="23">
                  <c:v>0</c:v>
                </c:pt>
                <c:pt idx="24">
                  <c:v>-6.0000000000004494E-5</c:v>
                </c:pt>
                <c:pt idx="25">
                  <c:v>5.0000000000022249E-5</c:v>
                </c:pt>
                <c:pt idx="26">
                  <c:v>-5.0000000000022249E-5</c:v>
                </c:pt>
                <c:pt idx="27">
                  <c:v>2.0000000000020002E-5</c:v>
                </c:pt>
                <c:pt idx="28">
                  <c:v>4.9999999999994493E-5</c:v>
                </c:pt>
                <c:pt idx="29">
                  <c:v>-3.0000000000002247E-5</c:v>
                </c:pt>
                <c:pt idx="30">
                  <c:v>-6.0000000000004494E-5</c:v>
                </c:pt>
                <c:pt idx="31">
                  <c:v>1.0000000000010001E-5</c:v>
                </c:pt>
                <c:pt idx="32">
                  <c:v>3.9999999999984492E-5</c:v>
                </c:pt>
                <c:pt idx="33">
                  <c:v>1.0000000000010001E-5</c:v>
                </c:pt>
                <c:pt idx="34">
                  <c:v>3.0000000000002247E-5</c:v>
                </c:pt>
                <c:pt idx="35">
                  <c:v>0</c:v>
                </c:pt>
                <c:pt idx="36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1-4CD3-BCB7-A75A12B19403}"/>
            </c:ext>
          </c:extLst>
        </c:ser>
        <c:ser>
          <c:idx val="8"/>
          <c:order val="8"/>
          <c:tx>
            <c:strRef>
              <c:f>'HeightDiff Comparisons'!$A$35</c:f>
              <c:strCache>
                <c:ptCount val="1"/>
                <c:pt idx="0">
                  <c:v> 9-10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Comparisons'!$C$35:$AM$35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-2.0000000000020002E-5</c:v>
                </c:pt>
                <c:pt idx="2">
                  <c:v>-2.9999999999974492E-5</c:v>
                </c:pt>
                <c:pt idx="3">
                  <c:v>3.9999999999984492E-5</c:v>
                </c:pt>
                <c:pt idx="4">
                  <c:v>-2.9999999999974492E-5</c:v>
                </c:pt>
                <c:pt idx="5">
                  <c:v>2.9999999999974492E-5</c:v>
                </c:pt>
                <c:pt idx="6">
                  <c:v>-3.9999999999984492E-5</c:v>
                </c:pt>
                <c:pt idx="7">
                  <c:v>2.0000000000020002E-5</c:v>
                </c:pt>
                <c:pt idx="8">
                  <c:v>0</c:v>
                </c:pt>
                <c:pt idx="9">
                  <c:v>1.9999999999964491E-5</c:v>
                </c:pt>
                <c:pt idx="10">
                  <c:v>-4.9999999999994493E-5</c:v>
                </c:pt>
                <c:pt idx="11">
                  <c:v>2.0000000000020002E-5</c:v>
                </c:pt>
                <c:pt idx="12">
                  <c:v>-2.0000000000020002E-5</c:v>
                </c:pt>
                <c:pt idx="13">
                  <c:v>2.0000000000020002E-5</c:v>
                </c:pt>
                <c:pt idx="14">
                  <c:v>1.0000000000010001E-5</c:v>
                </c:pt>
                <c:pt idx="15">
                  <c:v>-6.0000000000004494E-5</c:v>
                </c:pt>
                <c:pt idx="16">
                  <c:v>9.9999999999988987E-5</c:v>
                </c:pt>
                <c:pt idx="17">
                  <c:v>-7.0000000000014495E-5</c:v>
                </c:pt>
                <c:pt idx="18">
                  <c:v>3.9999999999984492E-5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2.9999999999974492E-5</c:v>
                </c:pt>
                <c:pt idx="22">
                  <c:v>1.0000000000010001E-5</c:v>
                </c:pt>
                <c:pt idx="23">
                  <c:v>0</c:v>
                </c:pt>
                <c:pt idx="24">
                  <c:v>1.0000000000010001E-5</c:v>
                </c:pt>
                <c:pt idx="25">
                  <c:v>-6.0000000000004494E-5</c:v>
                </c:pt>
                <c:pt idx="26">
                  <c:v>2.0000000000020002E-5</c:v>
                </c:pt>
                <c:pt idx="27">
                  <c:v>-3.0000000000030003E-5</c:v>
                </c:pt>
                <c:pt idx="28">
                  <c:v>9.0000000000034497E-5</c:v>
                </c:pt>
                <c:pt idx="29">
                  <c:v>-2.0000000000020002E-5</c:v>
                </c:pt>
                <c:pt idx="30">
                  <c:v>-6.0000000000004494E-5</c:v>
                </c:pt>
                <c:pt idx="31">
                  <c:v>6.0000000000004494E-5</c:v>
                </c:pt>
                <c:pt idx="32">
                  <c:v>-3.9999999999984492E-5</c:v>
                </c:pt>
                <c:pt idx="33">
                  <c:v>2.9999999999974492E-5</c:v>
                </c:pt>
                <c:pt idx="34">
                  <c:v>3.9000000000000146E-4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1-4CD3-BCB7-A75A12B19403}"/>
            </c:ext>
          </c:extLst>
        </c:ser>
        <c:ser>
          <c:idx val="9"/>
          <c:order val="9"/>
          <c:tx>
            <c:strRef>
              <c:f>'HeightDiff Comparisons'!$A$36</c:f>
              <c:strCache>
                <c:ptCount val="1"/>
                <c:pt idx="0">
                  <c:v> 10-11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Comparisons'!$C$36:$AM$36</c:f>
              <c:numCache>
                <c:formatCode>General</c:formatCode>
                <c:ptCount val="37"/>
                <c:pt idx="0">
                  <c:v>-7.0000000000014495E-5</c:v>
                </c:pt>
                <c:pt idx="1">
                  <c:v>7.0000000000014495E-5</c:v>
                </c:pt>
                <c:pt idx="2">
                  <c:v>4.0000000000040004E-5</c:v>
                </c:pt>
                <c:pt idx="3">
                  <c:v>-6.0000000000004494E-5</c:v>
                </c:pt>
                <c:pt idx="4">
                  <c:v>-1.0000000000010001E-5</c:v>
                </c:pt>
                <c:pt idx="5">
                  <c:v>-1.0000000000010001E-5</c:v>
                </c:pt>
                <c:pt idx="6">
                  <c:v>3.9999999999984492E-5</c:v>
                </c:pt>
                <c:pt idx="7">
                  <c:v>0</c:v>
                </c:pt>
                <c:pt idx="8">
                  <c:v>-1.9999999999964491E-5</c:v>
                </c:pt>
                <c:pt idx="9">
                  <c:v>-6.0000000000004494E-5</c:v>
                </c:pt>
                <c:pt idx="10">
                  <c:v>6.9999999999958984E-5</c:v>
                </c:pt>
                <c:pt idx="11">
                  <c:v>-1.9999999999964491E-5</c:v>
                </c:pt>
                <c:pt idx="12">
                  <c:v>1.0000000000010001E-5</c:v>
                </c:pt>
                <c:pt idx="13">
                  <c:v>9.9999999999544897E-6</c:v>
                </c:pt>
                <c:pt idx="14">
                  <c:v>2.0000000000020002E-5</c:v>
                </c:pt>
                <c:pt idx="15">
                  <c:v>-2.0000000000020002E-5</c:v>
                </c:pt>
                <c:pt idx="16">
                  <c:v>3.0000000000030003E-5</c:v>
                </c:pt>
                <c:pt idx="17">
                  <c:v>-4.9999999999994493E-5</c:v>
                </c:pt>
                <c:pt idx="18">
                  <c:v>2.9999999999974492E-5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3.9999999999984492E-5</c:v>
                </c:pt>
                <c:pt idx="22">
                  <c:v>-2.0000000000020002E-5</c:v>
                </c:pt>
                <c:pt idx="23">
                  <c:v>0</c:v>
                </c:pt>
                <c:pt idx="24">
                  <c:v>-1.9999999999964491E-5</c:v>
                </c:pt>
                <c:pt idx="25">
                  <c:v>3.9999999999984492E-5</c:v>
                </c:pt>
                <c:pt idx="26">
                  <c:v>-3.0000000000030003E-5</c:v>
                </c:pt>
                <c:pt idx="27">
                  <c:v>0</c:v>
                </c:pt>
                <c:pt idx="28">
                  <c:v>-6.0000000000004494E-5</c:v>
                </c:pt>
                <c:pt idx="29">
                  <c:v>4.0000000000040004E-5</c:v>
                </c:pt>
                <c:pt idx="30">
                  <c:v>2.9999999999974492E-5</c:v>
                </c:pt>
                <c:pt idx="31">
                  <c:v>-2.9999999999974492E-5</c:v>
                </c:pt>
                <c:pt idx="32">
                  <c:v>-4.9999999999994493E-5</c:v>
                </c:pt>
                <c:pt idx="33">
                  <c:v>2.9999999999974492E-5</c:v>
                </c:pt>
                <c:pt idx="34">
                  <c:v>-3.4000000000000696E-4</c:v>
                </c:pt>
                <c:pt idx="35">
                  <c:v>-2.9999999999974492E-5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61-4CD3-BCB7-A75A12B19403}"/>
            </c:ext>
          </c:extLst>
        </c:ser>
        <c:ser>
          <c:idx val="10"/>
          <c:order val="10"/>
          <c:tx>
            <c:strRef>
              <c:f>'HeightDiff Comparisons'!$A$37</c:f>
              <c:strCache>
                <c:ptCount val="1"/>
                <c:pt idx="0">
                  <c:v> 11-12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Comparisons'!$C$37:$AM$37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0</c:v>
                </c:pt>
                <c:pt idx="2">
                  <c:v>-4.0000000000040004E-5</c:v>
                </c:pt>
                <c:pt idx="3">
                  <c:v>6.0000000000004494E-5</c:v>
                </c:pt>
                <c:pt idx="4">
                  <c:v>2.0000000000020002E-5</c:v>
                </c:pt>
                <c:pt idx="5">
                  <c:v>-1.0000000000010001E-5</c:v>
                </c:pt>
                <c:pt idx="6">
                  <c:v>0</c:v>
                </c:pt>
                <c:pt idx="7">
                  <c:v>-2.0000000000020002E-5</c:v>
                </c:pt>
                <c:pt idx="8">
                  <c:v>0</c:v>
                </c:pt>
                <c:pt idx="9">
                  <c:v>0</c:v>
                </c:pt>
                <c:pt idx="10">
                  <c:v>-1.9999999999964491E-5</c:v>
                </c:pt>
                <c:pt idx="11">
                  <c:v>0</c:v>
                </c:pt>
                <c:pt idx="12">
                  <c:v>3.9999999999984492E-5</c:v>
                </c:pt>
                <c:pt idx="13">
                  <c:v>-2.0000000000020002E-5</c:v>
                </c:pt>
                <c:pt idx="14">
                  <c:v>4.0000000000040004E-5</c:v>
                </c:pt>
                <c:pt idx="15">
                  <c:v>-3.0000000000030003E-5</c:v>
                </c:pt>
                <c:pt idx="16">
                  <c:v>-1.9999999999964491E-5</c:v>
                </c:pt>
                <c:pt idx="17">
                  <c:v>0</c:v>
                </c:pt>
                <c:pt idx="18">
                  <c:v>-3.0000000000030003E-5</c:v>
                </c:pt>
                <c:pt idx="19">
                  <c:v>4.9999999999994493E-5</c:v>
                </c:pt>
                <c:pt idx="20">
                  <c:v>-1.9999999999964491E-5</c:v>
                </c:pt>
                <c:pt idx="21">
                  <c:v>1.9999999999964491E-5</c:v>
                </c:pt>
                <c:pt idx="22">
                  <c:v>2.0000000000020002E-5</c:v>
                </c:pt>
                <c:pt idx="23">
                  <c:v>-2.0000000000020002E-5</c:v>
                </c:pt>
                <c:pt idx="24">
                  <c:v>0</c:v>
                </c:pt>
                <c:pt idx="25">
                  <c:v>-3.9999999999984492E-5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7.0000000000014495E-5</c:v>
                </c:pt>
                <c:pt idx="30">
                  <c:v>-4.0000000000040004E-5</c:v>
                </c:pt>
                <c:pt idx="31">
                  <c:v>0</c:v>
                </c:pt>
                <c:pt idx="32">
                  <c:v>2.0000000000020002E-5</c:v>
                </c:pt>
                <c:pt idx="33">
                  <c:v>-3.9999999999984492E-5</c:v>
                </c:pt>
                <c:pt idx="34">
                  <c:v>4.9999999999994493E-5</c:v>
                </c:pt>
                <c:pt idx="35">
                  <c:v>-3.0000000000030003E-5</c:v>
                </c:pt>
                <c:pt idx="36">
                  <c:v>-2.9999999999974492E-5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61-4CD3-BCB7-A75A12B19403}"/>
            </c:ext>
          </c:extLst>
        </c:ser>
        <c:ser>
          <c:idx val="11"/>
          <c:order val="11"/>
          <c:tx>
            <c:strRef>
              <c:f>'HeightDiff Comparisons'!$A$38</c:f>
              <c:strCache>
                <c:ptCount val="1"/>
                <c:pt idx="0">
                  <c:v> 12-13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Comparisons'!$C$38:$AM$38</c:f>
              <c:numCache>
                <c:formatCode>General</c:formatCode>
                <c:ptCount val="37"/>
                <c:pt idx="0">
                  <c:v>-1.0000000000010001E-5</c:v>
                </c:pt>
                <c:pt idx="1">
                  <c:v>0</c:v>
                </c:pt>
                <c:pt idx="2">
                  <c:v>-9.9999999999822453E-6</c:v>
                </c:pt>
                <c:pt idx="3">
                  <c:v>9.9999999999822453E-6</c:v>
                </c:pt>
                <c:pt idx="4">
                  <c:v>0</c:v>
                </c:pt>
                <c:pt idx="5">
                  <c:v>-3.0000000000002247E-5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0</c:v>
                </c:pt>
                <c:pt idx="9">
                  <c:v>2.0000000000020002E-5</c:v>
                </c:pt>
                <c:pt idx="10">
                  <c:v>-3.0000000000002247E-5</c:v>
                </c:pt>
                <c:pt idx="11">
                  <c:v>1.9999999999992246E-5</c:v>
                </c:pt>
                <c:pt idx="12">
                  <c:v>1.0000000000010001E-5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9.9999999999822453E-6</c:v>
                </c:pt>
                <c:pt idx="16">
                  <c:v>-5.9999999999976739E-5</c:v>
                </c:pt>
                <c:pt idx="17">
                  <c:v>-1.0000000000010001E-5</c:v>
                </c:pt>
                <c:pt idx="18">
                  <c:v>-1.0000000000010001E-5</c:v>
                </c:pt>
                <c:pt idx="19">
                  <c:v>2.0000000000020002E-5</c:v>
                </c:pt>
                <c:pt idx="20">
                  <c:v>-2.0000000000020002E-5</c:v>
                </c:pt>
                <c:pt idx="21">
                  <c:v>5.0000000000022249E-5</c:v>
                </c:pt>
                <c:pt idx="22">
                  <c:v>-5.0000000000022249E-5</c:v>
                </c:pt>
                <c:pt idx="23">
                  <c:v>1.8000000000001348E-4</c:v>
                </c:pt>
                <c:pt idx="24">
                  <c:v>0</c:v>
                </c:pt>
                <c:pt idx="25">
                  <c:v>-1.0000000000010001E-5</c:v>
                </c:pt>
                <c:pt idx="26">
                  <c:v>0</c:v>
                </c:pt>
                <c:pt idx="27">
                  <c:v>-9.9999999999822453E-6</c:v>
                </c:pt>
                <c:pt idx="28">
                  <c:v>9.9999999999822453E-6</c:v>
                </c:pt>
                <c:pt idx="29">
                  <c:v>1.0000000000010001E-5</c:v>
                </c:pt>
                <c:pt idx="30">
                  <c:v>1.8999999999999573E-4</c:v>
                </c:pt>
                <c:pt idx="31">
                  <c:v>6.9999999999986739E-5</c:v>
                </c:pt>
                <c:pt idx="32">
                  <c:v>-2.9999999999974492E-5</c:v>
                </c:pt>
                <c:pt idx="33">
                  <c:v>1.0999999999999899E-4</c:v>
                </c:pt>
                <c:pt idx="34">
                  <c:v>4.9999999999994493E-5</c:v>
                </c:pt>
                <c:pt idx="35">
                  <c:v>2.8000000000000247E-4</c:v>
                </c:pt>
                <c:pt idx="36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61-4CD3-BCB7-A75A12B19403}"/>
            </c:ext>
          </c:extLst>
        </c:ser>
        <c:ser>
          <c:idx val="12"/>
          <c:order val="12"/>
          <c:tx>
            <c:strRef>
              <c:f>'HeightDiff Comparisons'!$A$39</c:f>
              <c:strCache>
                <c:ptCount val="1"/>
                <c:pt idx="0">
                  <c:v> 13-14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Comparisons'!$C$39:$AM$39</c:f>
              <c:numCache>
                <c:formatCode>General</c:formatCode>
                <c:ptCount val="37"/>
                <c:pt idx="0">
                  <c:v>3.9999999999984492E-5</c:v>
                </c:pt>
                <c:pt idx="1">
                  <c:v>0</c:v>
                </c:pt>
                <c:pt idx="2">
                  <c:v>7.999999999999674E-5</c:v>
                </c:pt>
                <c:pt idx="3">
                  <c:v>-5.9999999999976739E-5</c:v>
                </c:pt>
                <c:pt idx="4">
                  <c:v>-1.0000000000010001E-5</c:v>
                </c:pt>
                <c:pt idx="5">
                  <c:v>1.9999999999992246E-5</c:v>
                </c:pt>
                <c:pt idx="6">
                  <c:v>7.0000000000014495E-5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4.9999999999994493E-5</c:v>
                </c:pt>
                <c:pt idx="11">
                  <c:v>-4.9999999999994493E-5</c:v>
                </c:pt>
                <c:pt idx="12">
                  <c:v>4.9999999999994493E-5</c:v>
                </c:pt>
                <c:pt idx="13">
                  <c:v>1.0000000000010001E-5</c:v>
                </c:pt>
                <c:pt idx="14">
                  <c:v>-6.0000000000004494E-5</c:v>
                </c:pt>
                <c:pt idx="15">
                  <c:v>2.0000000000020002E-5</c:v>
                </c:pt>
                <c:pt idx="16">
                  <c:v>0</c:v>
                </c:pt>
                <c:pt idx="17">
                  <c:v>0</c:v>
                </c:pt>
                <c:pt idx="18">
                  <c:v>-6.0000000000004494E-5</c:v>
                </c:pt>
                <c:pt idx="19">
                  <c:v>3.0000000000002247E-5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9.9999999999822453E-6</c:v>
                </c:pt>
                <c:pt idx="23">
                  <c:v>-5.9999999999976739E-5</c:v>
                </c:pt>
                <c:pt idx="24">
                  <c:v>-2.0000000000020002E-5</c:v>
                </c:pt>
                <c:pt idx="25">
                  <c:v>-3.0000000000002247E-5</c:v>
                </c:pt>
                <c:pt idx="26">
                  <c:v>0</c:v>
                </c:pt>
                <c:pt idx="27">
                  <c:v>0</c:v>
                </c:pt>
                <c:pt idx="28">
                  <c:v>1.0000000000010001E-5</c:v>
                </c:pt>
                <c:pt idx="29">
                  <c:v>3.4999999999998921E-4</c:v>
                </c:pt>
                <c:pt idx="30">
                  <c:v>-2.0999999999998797E-4</c:v>
                </c:pt>
                <c:pt idx="31">
                  <c:v>4.0000000000012248E-5</c:v>
                </c:pt>
                <c:pt idx="32">
                  <c:v>-4.0000000000012248E-5</c:v>
                </c:pt>
                <c:pt idx="33">
                  <c:v>-6.9999999999986739E-5</c:v>
                </c:pt>
                <c:pt idx="34">
                  <c:v>-2.0000000000020002E-5</c:v>
                </c:pt>
                <c:pt idx="35">
                  <c:v>-2.5000000000000022E-4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61-4CD3-BCB7-A75A12B19403}"/>
            </c:ext>
          </c:extLst>
        </c:ser>
        <c:ser>
          <c:idx val="13"/>
          <c:order val="13"/>
          <c:tx>
            <c:strRef>
              <c:f>'HeightDiff Comparisons'!$A$40</c:f>
              <c:strCache>
                <c:ptCount val="1"/>
                <c:pt idx="0">
                  <c:v> 14-15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Comparisons'!$C$40:$AM$40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0</c:v>
                </c:pt>
                <c:pt idx="3">
                  <c:v>3.0000000000002247E-5</c:v>
                </c:pt>
                <c:pt idx="4">
                  <c:v>1.9999999999992246E-5</c:v>
                </c:pt>
                <c:pt idx="5">
                  <c:v>-3.9999999999984492E-5</c:v>
                </c:pt>
                <c:pt idx="6">
                  <c:v>-1.0000000000001674E-4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-9.9999999999822453E-6</c:v>
                </c:pt>
                <c:pt idx="10">
                  <c:v>-1.9999999999992246E-5</c:v>
                </c:pt>
                <c:pt idx="11">
                  <c:v>2.9999999999974492E-5</c:v>
                </c:pt>
                <c:pt idx="12">
                  <c:v>-9.9999999999822453E-6</c:v>
                </c:pt>
                <c:pt idx="13">
                  <c:v>1.9999999999992246E-5</c:v>
                </c:pt>
                <c:pt idx="14">
                  <c:v>6.0000000000004494E-5</c:v>
                </c:pt>
                <c:pt idx="15">
                  <c:v>-1.9999999999992246E-5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-1.9999999999992246E-5</c:v>
                </c:pt>
                <c:pt idx="21">
                  <c:v>4.0000000000012248E-5</c:v>
                </c:pt>
                <c:pt idx="22">
                  <c:v>3.9999999999984492E-5</c:v>
                </c:pt>
                <c:pt idx="23">
                  <c:v>-8.9999999999978986E-5</c:v>
                </c:pt>
                <c:pt idx="24">
                  <c:v>-3.0000000000002247E-5</c:v>
                </c:pt>
                <c:pt idx="25">
                  <c:v>-2.0000000000020002E-5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2.0000000000020002E-5</c:v>
                </c:pt>
                <c:pt idx="29">
                  <c:v>-3.2999999999999696E-4</c:v>
                </c:pt>
                <c:pt idx="30">
                  <c:v>-1.4000000000000123E-4</c:v>
                </c:pt>
                <c:pt idx="31">
                  <c:v>1.1999999999998123E-4</c:v>
                </c:pt>
                <c:pt idx="32">
                  <c:v>-3.0000000000002247E-5</c:v>
                </c:pt>
                <c:pt idx="33">
                  <c:v>6.0000000000004494E-5</c:v>
                </c:pt>
                <c:pt idx="34">
                  <c:v>7.999999999999674E-5</c:v>
                </c:pt>
                <c:pt idx="35">
                  <c:v>-4.9999999999994493E-5</c:v>
                </c:pt>
                <c:pt idx="36">
                  <c:v>-9.9999999999988987E-5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61-4CD3-BCB7-A75A12B19403}"/>
            </c:ext>
          </c:extLst>
        </c:ser>
        <c:ser>
          <c:idx val="14"/>
          <c:order val="14"/>
          <c:tx>
            <c:strRef>
              <c:f>'HeightDiff Comparisons'!$A$41</c:f>
              <c:strCache>
                <c:ptCount val="1"/>
                <c:pt idx="0">
                  <c:v> 15-16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Comparisons'!$C$41:$AM$41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-9.9999999999822453E-6</c:v>
                </c:pt>
                <c:pt idx="4">
                  <c:v>9.9999999999822453E-6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-6.9999999999986739E-5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0</c:v>
                </c:pt>
                <c:pt idx="11">
                  <c:v>3.0000000000002247E-5</c:v>
                </c:pt>
                <c:pt idx="12">
                  <c:v>1.0000000000010001E-5</c:v>
                </c:pt>
                <c:pt idx="13">
                  <c:v>1.0000000000010001E-5</c:v>
                </c:pt>
                <c:pt idx="14">
                  <c:v>-1.0000000000010001E-5</c:v>
                </c:pt>
                <c:pt idx="15">
                  <c:v>-1.9999999999992246E-5</c:v>
                </c:pt>
                <c:pt idx="16">
                  <c:v>5.9999999999976739E-5</c:v>
                </c:pt>
                <c:pt idx="17">
                  <c:v>-5.9999999999976739E-5</c:v>
                </c:pt>
                <c:pt idx="18">
                  <c:v>8.9999999999978986E-5</c:v>
                </c:pt>
                <c:pt idx="19">
                  <c:v>-1.4999999999998348E-4</c:v>
                </c:pt>
                <c:pt idx="20">
                  <c:v>6.0000000000004494E-5</c:v>
                </c:pt>
                <c:pt idx="21">
                  <c:v>5.3999999999998494E-4</c:v>
                </c:pt>
                <c:pt idx="22">
                  <c:v>-4.8999999999999044E-4</c:v>
                </c:pt>
                <c:pt idx="23">
                  <c:v>1.4000000000000123E-4</c:v>
                </c:pt>
                <c:pt idx="24">
                  <c:v>-1.0000000000010001E-5</c:v>
                </c:pt>
                <c:pt idx="25">
                  <c:v>-1.9999999999992246E-5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-8.0000000000024496E-5</c:v>
                </c:pt>
                <c:pt idx="29">
                  <c:v>1.0999999999999899E-4</c:v>
                </c:pt>
                <c:pt idx="30">
                  <c:v>9.0000000000006741E-5</c:v>
                </c:pt>
                <c:pt idx="31">
                  <c:v>-7.999999999999674E-5</c:v>
                </c:pt>
                <c:pt idx="32">
                  <c:v>3.0000000000002247E-5</c:v>
                </c:pt>
                <c:pt idx="33">
                  <c:v>-1.5000000000001124E-4</c:v>
                </c:pt>
                <c:pt idx="34">
                  <c:v>6.0000000000004494E-5</c:v>
                </c:pt>
                <c:pt idx="35">
                  <c:v>9.0000000000006741E-5</c:v>
                </c:pt>
                <c:pt idx="36">
                  <c:v>2.3999999999999022E-4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61-4CD3-BCB7-A75A12B19403}"/>
            </c:ext>
          </c:extLst>
        </c:ser>
        <c:ser>
          <c:idx val="15"/>
          <c:order val="15"/>
          <c:tx>
            <c:strRef>
              <c:f>'HeightDiff Comparisons'!$A$42</c:f>
              <c:strCache>
                <c:ptCount val="1"/>
                <c:pt idx="0">
                  <c:v> 16-17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Comparisons'!$C$42:$AM$42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1.0000000000010001E-5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-1.9999999999992246E-5</c:v>
                </c:pt>
                <c:pt idx="10">
                  <c:v>3.9999999999984492E-5</c:v>
                </c:pt>
                <c:pt idx="11">
                  <c:v>-8.9999999999978986E-5</c:v>
                </c:pt>
                <c:pt idx="12">
                  <c:v>1.0999999999999899E-4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-7.999999999999674E-5</c:v>
                </c:pt>
                <c:pt idx="16">
                  <c:v>-3.0000000000002247E-5</c:v>
                </c:pt>
                <c:pt idx="17">
                  <c:v>-1.9999999999992246E-5</c:v>
                </c:pt>
                <c:pt idx="18">
                  <c:v>-7.999999999999674E-5</c:v>
                </c:pt>
                <c:pt idx="19">
                  <c:v>9.9999999999988987E-5</c:v>
                </c:pt>
                <c:pt idx="20">
                  <c:v>1.9999999999992246E-5</c:v>
                </c:pt>
                <c:pt idx="21">
                  <c:v>-4.3999999999999595E-4</c:v>
                </c:pt>
                <c:pt idx="22">
                  <c:v>4.699999999999982E-4</c:v>
                </c:pt>
                <c:pt idx="23">
                  <c:v>-1.5999999999999348E-4</c:v>
                </c:pt>
                <c:pt idx="24">
                  <c:v>-6.0000000000004494E-5</c:v>
                </c:pt>
                <c:pt idx="25">
                  <c:v>1.0000000000010001E-5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9.9999999999988987E-5</c:v>
                </c:pt>
                <c:pt idx="29">
                  <c:v>-4.9999999999994493E-5</c:v>
                </c:pt>
                <c:pt idx="30">
                  <c:v>-1.0000000000001674E-4</c:v>
                </c:pt>
                <c:pt idx="31">
                  <c:v>1.4000000000000123E-4</c:v>
                </c:pt>
                <c:pt idx="32">
                  <c:v>-1.0999999999999899E-4</c:v>
                </c:pt>
                <c:pt idx="33">
                  <c:v>-9.9999999999822453E-6</c:v>
                </c:pt>
                <c:pt idx="34">
                  <c:v>6.0000000000004494E-5</c:v>
                </c:pt>
                <c:pt idx="35">
                  <c:v>-9.0000000000006741E-5</c:v>
                </c:pt>
                <c:pt idx="36">
                  <c:v>-2.9000000000001247E-4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61-4CD3-BCB7-A75A12B19403}"/>
            </c:ext>
          </c:extLst>
        </c:ser>
        <c:ser>
          <c:idx val="16"/>
          <c:order val="16"/>
          <c:tx>
            <c:strRef>
              <c:f>'HeightDiff Comparisons'!$A$43</c:f>
              <c:strCache>
                <c:ptCount val="1"/>
                <c:pt idx="0">
                  <c:v> 17-18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Comparisons'!$C$43:$AM$43</c:f>
              <c:numCache>
                <c:formatCode>General</c:formatCode>
                <c:ptCount val="37"/>
                <c:pt idx="0">
                  <c:v>1.0000000000010001E-5</c:v>
                </c:pt>
                <c:pt idx="1">
                  <c:v>3.9999999999984492E-5</c:v>
                </c:pt>
                <c:pt idx="2">
                  <c:v>-1.9999999999992246E-5</c:v>
                </c:pt>
                <c:pt idx="3">
                  <c:v>3.9999999999984492E-5</c:v>
                </c:pt>
                <c:pt idx="4">
                  <c:v>-9.9999999999822453E-6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-1.2000000000000899E-4</c:v>
                </c:pt>
                <c:pt idx="8">
                  <c:v>-1.9999999999992246E-5</c:v>
                </c:pt>
                <c:pt idx="9">
                  <c:v>1.0000000000010001E-5</c:v>
                </c:pt>
                <c:pt idx="10">
                  <c:v>-4.9999999999994493E-5</c:v>
                </c:pt>
                <c:pt idx="11">
                  <c:v>6.9999999999986739E-5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6.0000000000004494E-5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3.0000000000002247E-5</c:v>
                </c:pt>
                <c:pt idx="20">
                  <c:v>-6.9999999999986739E-5</c:v>
                </c:pt>
                <c:pt idx="21">
                  <c:v>1.9999999999992246E-5</c:v>
                </c:pt>
                <c:pt idx="22">
                  <c:v>7.0000000000014495E-5</c:v>
                </c:pt>
                <c:pt idx="23">
                  <c:v>-1.0000000000010001E-5</c:v>
                </c:pt>
                <c:pt idx="24">
                  <c:v>0</c:v>
                </c:pt>
                <c:pt idx="25">
                  <c:v>-4.9999999999994493E-5</c:v>
                </c:pt>
                <c:pt idx="26">
                  <c:v>-1.9999999999992246E-5</c:v>
                </c:pt>
                <c:pt idx="27">
                  <c:v>2.9999999999974492E-5</c:v>
                </c:pt>
                <c:pt idx="28">
                  <c:v>-4.9999999999994493E-5</c:v>
                </c:pt>
                <c:pt idx="29">
                  <c:v>1.0600000000000054E-3</c:v>
                </c:pt>
                <c:pt idx="30">
                  <c:v>-7.999999999999674E-5</c:v>
                </c:pt>
                <c:pt idx="31">
                  <c:v>9.0000000000006741E-5</c:v>
                </c:pt>
                <c:pt idx="32">
                  <c:v>-6.0000000000004494E-5</c:v>
                </c:pt>
                <c:pt idx="33">
                  <c:v>-1.9999999999992246E-5</c:v>
                </c:pt>
                <c:pt idx="34">
                  <c:v>7.999999999999674E-5</c:v>
                </c:pt>
                <c:pt idx="35">
                  <c:v>1.9999999999992246E-5</c:v>
                </c:pt>
                <c:pt idx="36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61-4CD3-BCB7-A75A12B19403}"/>
            </c:ext>
          </c:extLst>
        </c:ser>
        <c:ser>
          <c:idx val="17"/>
          <c:order val="17"/>
          <c:tx>
            <c:strRef>
              <c:f>'HeightDiff Comparisons'!$A$44</c:f>
              <c:strCache>
                <c:ptCount val="1"/>
                <c:pt idx="0">
                  <c:v> 18-19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Comparisons'!$C$44:$AM$44</c:f>
              <c:numCache>
                <c:formatCode>General</c:formatCode>
                <c:ptCount val="37"/>
                <c:pt idx="0">
                  <c:v>0</c:v>
                </c:pt>
                <c:pt idx="1">
                  <c:v>-1.0000000000010001E-5</c:v>
                </c:pt>
                <c:pt idx="2">
                  <c:v>6.0000000000004494E-5</c:v>
                </c:pt>
                <c:pt idx="3">
                  <c:v>-3.0000000000002247E-5</c:v>
                </c:pt>
                <c:pt idx="4">
                  <c:v>1.0000000000010001E-5</c:v>
                </c:pt>
                <c:pt idx="5">
                  <c:v>-4.9999999999994493E-5</c:v>
                </c:pt>
                <c:pt idx="6">
                  <c:v>9.9999999999822453E-6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4.0000000000012248E-5</c:v>
                </c:pt>
                <c:pt idx="11">
                  <c:v>-1.9999999999992246E-5</c:v>
                </c:pt>
                <c:pt idx="12">
                  <c:v>-2.0000000000020002E-5</c:v>
                </c:pt>
                <c:pt idx="13">
                  <c:v>1.2000000000000899E-4</c:v>
                </c:pt>
                <c:pt idx="14">
                  <c:v>-1.9999999999992246E-5</c:v>
                </c:pt>
                <c:pt idx="15">
                  <c:v>-2.0000000000020002E-5</c:v>
                </c:pt>
                <c:pt idx="16">
                  <c:v>4.0000000000012248E-5</c:v>
                </c:pt>
                <c:pt idx="17">
                  <c:v>-7.0000000000014495E-5</c:v>
                </c:pt>
                <c:pt idx="18">
                  <c:v>-1.9999999999992246E-5</c:v>
                </c:pt>
                <c:pt idx="19">
                  <c:v>1.9999999999992246E-5</c:v>
                </c:pt>
                <c:pt idx="20">
                  <c:v>5.0000000000022249E-5</c:v>
                </c:pt>
                <c:pt idx="21">
                  <c:v>9.9999999999822453E-6</c:v>
                </c:pt>
                <c:pt idx="22">
                  <c:v>1.0000000000010001E-5</c:v>
                </c:pt>
                <c:pt idx="23">
                  <c:v>-1.9999999999992246E-5</c:v>
                </c:pt>
                <c:pt idx="24">
                  <c:v>-3.0000000000002247E-5</c:v>
                </c:pt>
                <c:pt idx="25">
                  <c:v>3.0000000000002247E-5</c:v>
                </c:pt>
                <c:pt idx="26">
                  <c:v>-6.0000000000004494E-5</c:v>
                </c:pt>
                <c:pt idx="27">
                  <c:v>-4.9999999999994493E-5</c:v>
                </c:pt>
                <c:pt idx="28">
                  <c:v>1.9999999999992246E-5</c:v>
                </c:pt>
                <c:pt idx="29">
                  <c:v>-9.000000000000119E-4</c:v>
                </c:pt>
                <c:pt idx="30">
                  <c:v>-3.0000000000002247E-5</c:v>
                </c:pt>
                <c:pt idx="31">
                  <c:v>1.0000000000010001E-5</c:v>
                </c:pt>
                <c:pt idx="32">
                  <c:v>4.0000000000012248E-5</c:v>
                </c:pt>
                <c:pt idx="33">
                  <c:v>-1.0000000000001674E-4</c:v>
                </c:pt>
                <c:pt idx="34">
                  <c:v>1.0000000000001674E-4</c:v>
                </c:pt>
                <c:pt idx="35">
                  <c:v>9.9999999999822453E-6</c:v>
                </c:pt>
                <c:pt idx="36">
                  <c:v>-7.999999999999674E-5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61-4CD3-BCB7-A75A12B19403}"/>
            </c:ext>
          </c:extLst>
        </c:ser>
        <c:ser>
          <c:idx val="18"/>
          <c:order val="18"/>
          <c:tx>
            <c:strRef>
              <c:f>'HeightDiff Comparisons'!$A$45</c:f>
              <c:strCache>
                <c:ptCount val="1"/>
                <c:pt idx="0">
                  <c:v> 19-20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Comparisons'!$C$45:$AM$45</c:f>
              <c:numCache>
                <c:formatCode>General</c:formatCode>
                <c:ptCount val="37"/>
                <c:pt idx="0">
                  <c:v>1.0000000000001674E-4</c:v>
                </c:pt>
                <c:pt idx="1">
                  <c:v>6.9999999999986739E-5</c:v>
                </c:pt>
                <c:pt idx="2">
                  <c:v>0</c:v>
                </c:pt>
                <c:pt idx="3">
                  <c:v>-1.9999999999992246E-5</c:v>
                </c:pt>
                <c:pt idx="4">
                  <c:v>0</c:v>
                </c:pt>
                <c:pt idx="5">
                  <c:v>-1.0000000000010001E-5</c:v>
                </c:pt>
                <c:pt idx="6">
                  <c:v>-1.9999999999992246E-5</c:v>
                </c:pt>
                <c:pt idx="7">
                  <c:v>-9.9999999999822453E-6</c:v>
                </c:pt>
                <c:pt idx="8">
                  <c:v>0</c:v>
                </c:pt>
                <c:pt idx="9">
                  <c:v>2.9999999999974492E-5</c:v>
                </c:pt>
                <c:pt idx="10">
                  <c:v>-6.9999999999986739E-5</c:v>
                </c:pt>
                <c:pt idx="11">
                  <c:v>9.9999999999988987E-5</c:v>
                </c:pt>
                <c:pt idx="12">
                  <c:v>-3.9999999999984492E-5</c:v>
                </c:pt>
                <c:pt idx="13">
                  <c:v>-7.0000000000014495E-5</c:v>
                </c:pt>
                <c:pt idx="14">
                  <c:v>1.3000000000001899E-4</c:v>
                </c:pt>
                <c:pt idx="15">
                  <c:v>4.9999999999994493E-5</c:v>
                </c:pt>
                <c:pt idx="16">
                  <c:v>-1.2000000000000899E-4</c:v>
                </c:pt>
                <c:pt idx="17">
                  <c:v>-9.9999999999822453E-6</c:v>
                </c:pt>
                <c:pt idx="18">
                  <c:v>-9.0000000000006741E-5</c:v>
                </c:pt>
                <c:pt idx="19">
                  <c:v>1.9999999999992246E-5</c:v>
                </c:pt>
                <c:pt idx="20">
                  <c:v>4.9999999999994493E-5</c:v>
                </c:pt>
                <c:pt idx="21">
                  <c:v>1.0000000000010001E-5</c:v>
                </c:pt>
                <c:pt idx="22">
                  <c:v>4.9999999999994493E-5</c:v>
                </c:pt>
                <c:pt idx="23">
                  <c:v>1.0000000000010001E-5</c:v>
                </c:pt>
                <c:pt idx="24">
                  <c:v>3.0000000000002247E-5</c:v>
                </c:pt>
                <c:pt idx="25">
                  <c:v>-1.5000000000001124E-4</c:v>
                </c:pt>
                <c:pt idx="26">
                  <c:v>6.0000000000004494E-5</c:v>
                </c:pt>
                <c:pt idx="27">
                  <c:v>-1.0000000000010001E-5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4.9999999999994493E-5</c:v>
                </c:pt>
                <c:pt idx="32">
                  <c:v>-1.6999999999997573E-4</c:v>
                </c:pt>
                <c:pt idx="33">
                  <c:v>1.0999999999999899E-4</c:v>
                </c:pt>
                <c:pt idx="34">
                  <c:v>5.9999999999976739E-5</c:v>
                </c:pt>
                <c:pt idx="35">
                  <c:v>-1.9999999999992246E-5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61-4CD3-BCB7-A75A12B19403}"/>
            </c:ext>
          </c:extLst>
        </c:ser>
        <c:ser>
          <c:idx val="19"/>
          <c:order val="19"/>
          <c:tx>
            <c:strRef>
              <c:f>'HeightDiff Comparisons'!$A$46</c:f>
              <c:strCache>
                <c:ptCount val="1"/>
                <c:pt idx="0">
                  <c:v> 20-21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Comparisons'!$C$46:$AM$46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1.9999999999992246E-5</c:v>
                </c:pt>
                <c:pt idx="2">
                  <c:v>2.0000000000020002E-5</c:v>
                </c:pt>
                <c:pt idx="3">
                  <c:v>6.0000000000004494E-5</c:v>
                </c:pt>
                <c:pt idx="4">
                  <c:v>-5.0000000000022249E-5</c:v>
                </c:pt>
                <c:pt idx="5">
                  <c:v>2.0000000000020002E-5</c:v>
                </c:pt>
                <c:pt idx="6">
                  <c:v>1.9999999999992246E-5</c:v>
                </c:pt>
                <c:pt idx="7">
                  <c:v>-4.0000000000012248E-5</c:v>
                </c:pt>
                <c:pt idx="8">
                  <c:v>-6.0000000000004494E-5</c:v>
                </c:pt>
                <c:pt idx="9">
                  <c:v>-2.9999999999974492E-5</c:v>
                </c:pt>
                <c:pt idx="10">
                  <c:v>-1.0000000000010001E-5</c:v>
                </c:pt>
                <c:pt idx="11">
                  <c:v>-3.0000000000002247E-5</c:v>
                </c:pt>
                <c:pt idx="12">
                  <c:v>9.9999999999988987E-5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-1.0000000000010001E-5</c:v>
                </c:pt>
                <c:pt idx="16">
                  <c:v>4.0000000000012248E-5</c:v>
                </c:pt>
                <c:pt idx="17">
                  <c:v>-1.5000000000001124E-4</c:v>
                </c:pt>
                <c:pt idx="18">
                  <c:v>-4.9999999999994493E-5</c:v>
                </c:pt>
                <c:pt idx="19">
                  <c:v>9.0000000000006741E-5</c:v>
                </c:pt>
                <c:pt idx="20">
                  <c:v>-6.0000000000004494E-5</c:v>
                </c:pt>
                <c:pt idx="21">
                  <c:v>1.5000000000001124E-4</c:v>
                </c:pt>
                <c:pt idx="22">
                  <c:v>9.9999999999822453E-6</c:v>
                </c:pt>
                <c:pt idx="23">
                  <c:v>-3.0000000000002247E-5</c:v>
                </c:pt>
                <c:pt idx="24">
                  <c:v>-1.1999999999998123E-4</c:v>
                </c:pt>
                <c:pt idx="25">
                  <c:v>6.9999999999986739E-5</c:v>
                </c:pt>
                <c:pt idx="26">
                  <c:v>3.0000000000002247E-5</c:v>
                </c:pt>
                <c:pt idx="27">
                  <c:v>-1.9999999999992246E-5</c:v>
                </c:pt>
                <c:pt idx="28">
                  <c:v>-3.0000000000002247E-5</c:v>
                </c:pt>
                <c:pt idx="29">
                  <c:v>6.9999999999986739E-5</c:v>
                </c:pt>
                <c:pt idx="30">
                  <c:v>-4.9999999999994493E-5</c:v>
                </c:pt>
                <c:pt idx="31">
                  <c:v>1.0000000000001674E-4</c:v>
                </c:pt>
                <c:pt idx="32">
                  <c:v>-9.0000000000006741E-5</c:v>
                </c:pt>
                <c:pt idx="33">
                  <c:v>0</c:v>
                </c:pt>
                <c:pt idx="34">
                  <c:v>1.2000000000000899E-4</c:v>
                </c:pt>
                <c:pt idx="35">
                  <c:v>-1.0000000000010001E-5</c:v>
                </c:pt>
                <c:pt idx="36">
                  <c:v>-1.5000000000001124E-4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61-4CD3-BCB7-A75A12B1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5967296"/>
        <c:axId val="1245971232"/>
      </c:barChart>
      <c:catAx>
        <c:axId val="12459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1232"/>
        <c:crosses val="autoZero"/>
        <c:auto val="1"/>
        <c:lblAlgn val="ctr"/>
        <c:lblOffset val="100"/>
        <c:noMultiLvlLbl val="0"/>
      </c:catAx>
      <c:valAx>
        <c:axId val="1245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495300</xdr:colOff>
          <xdr:row>0</xdr:row>
          <xdr:rowOff>0</xdr:rowOff>
        </xdr:from>
        <xdr:to>
          <xdr:col>223</xdr:col>
          <xdr:colOff>57150</xdr:colOff>
          <xdr:row>2</xdr:row>
          <xdr:rowOff>133350</xdr:rowOff>
        </xdr:to>
        <xdr:sp macro="" textlink="">
          <xdr:nvSpPr>
            <xdr:cNvPr id="7173" name="CopyToStaff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0</xdr:rowOff>
        </xdr:from>
        <xdr:to>
          <xdr:col>7</xdr:col>
          <xdr:colOff>57150</xdr:colOff>
          <xdr:row>2</xdr:row>
          <xdr:rowOff>133350</xdr:rowOff>
        </xdr:to>
        <xdr:sp macro="" textlink="">
          <xdr:nvSpPr>
            <xdr:cNvPr id="18433" name="CopyToStaff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55</xdr:row>
      <xdr:rowOff>1</xdr:rowOff>
    </xdr:from>
    <xdr:to>
      <xdr:col>26</xdr:col>
      <xdr:colOff>438149</xdr:colOff>
      <xdr:row>102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195208</xdr:colOff>
      <xdr:row>67</xdr:row>
      <xdr:rowOff>178514</xdr:rowOff>
    </xdr:from>
    <xdr:to>
      <xdr:col>41</xdr:col>
      <xdr:colOff>585734</xdr:colOff>
      <xdr:row>88</xdr:row>
      <xdr:rowOff>4923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502470</xdr:colOff>
      <xdr:row>60</xdr:row>
      <xdr:rowOff>59505</xdr:rowOff>
    </xdr:from>
    <xdr:to>
      <xdr:col>32</xdr:col>
      <xdr:colOff>207195</xdr:colOff>
      <xdr:row>74</xdr:row>
      <xdr:rowOff>135704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188625</xdr:colOff>
      <xdr:row>108</xdr:row>
      <xdr:rowOff>161762</xdr:rowOff>
    </xdr:from>
    <xdr:to>
      <xdr:col>39</xdr:col>
      <xdr:colOff>888286</xdr:colOff>
      <xdr:row>128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28575</xdr:colOff>
      <xdr:row>136</xdr:row>
      <xdr:rowOff>28575</xdr:rowOff>
    </xdr:from>
    <xdr:to>
      <xdr:col>39</xdr:col>
      <xdr:colOff>728236</xdr:colOff>
      <xdr:row>155</xdr:row>
      <xdr:rowOff>59454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31036</xdr:colOff>
      <xdr:row>55</xdr:row>
      <xdr:rowOff>185577</xdr:rowOff>
    </xdr:from>
    <xdr:to>
      <xdr:col>49</xdr:col>
      <xdr:colOff>43879</xdr:colOff>
      <xdr:row>70</xdr:row>
      <xdr:rowOff>39170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657225</xdr:colOff>
      <xdr:row>49</xdr:row>
      <xdr:rowOff>71437</xdr:rowOff>
    </xdr:from>
    <xdr:to>
      <xdr:col>15</xdr:col>
      <xdr:colOff>523875</xdr:colOff>
      <xdr:row>63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49</xdr:row>
      <xdr:rowOff>33337</xdr:rowOff>
    </xdr:from>
    <xdr:to>
      <xdr:col>22</xdr:col>
      <xdr:colOff>95250</xdr:colOff>
      <xdr:row>63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32</xdr:row>
      <xdr:rowOff>76199</xdr:rowOff>
    </xdr:from>
    <xdr:to>
      <xdr:col>18</xdr:col>
      <xdr:colOff>628650</xdr:colOff>
      <xdr:row>63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</xdr:row>
      <xdr:rowOff>152400</xdr:rowOff>
    </xdr:from>
    <xdr:to>
      <xdr:col>24</xdr:col>
      <xdr:colOff>752475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552450</xdr:colOff>
      <xdr:row>24</xdr:row>
      <xdr:rowOff>95250</xdr:rowOff>
    </xdr:from>
    <xdr:to>
      <xdr:col>38</xdr:col>
      <xdr:colOff>247650</xdr:colOff>
      <xdr:row>46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523874</xdr:colOff>
      <xdr:row>24</xdr:row>
      <xdr:rowOff>133349</xdr:rowOff>
    </xdr:from>
    <xdr:to>
      <xdr:col>52</xdr:col>
      <xdr:colOff>420688</xdr:colOff>
      <xdr:row>59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695325</xdr:colOff>
      <xdr:row>47</xdr:row>
      <xdr:rowOff>171450</xdr:rowOff>
    </xdr:from>
    <xdr:to>
      <xdr:col>39</xdr:col>
      <xdr:colOff>9525</xdr:colOff>
      <xdr:row>69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246062</xdr:colOff>
      <xdr:row>2</xdr:row>
      <xdr:rowOff>95250</xdr:rowOff>
    </xdr:from>
    <xdr:to>
      <xdr:col>55</xdr:col>
      <xdr:colOff>484187</xdr:colOff>
      <xdr:row>21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119063</xdr:colOff>
      <xdr:row>24</xdr:row>
      <xdr:rowOff>168275</xdr:rowOff>
    </xdr:from>
    <xdr:to>
      <xdr:col>59</xdr:col>
      <xdr:colOff>119063</xdr:colOff>
      <xdr:row>39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95249</xdr:rowOff>
    </xdr:from>
    <xdr:to>
      <xdr:col>15</xdr:col>
      <xdr:colOff>200025</xdr:colOff>
      <xdr:row>32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142875</xdr:colOff>
      <xdr:row>25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266699</xdr:colOff>
      <xdr:row>2</xdr:row>
      <xdr:rowOff>0</xdr:rowOff>
    </xdr:from>
    <xdr:to>
      <xdr:col>16</xdr:col>
      <xdr:colOff>371474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76199</xdr:colOff>
      <xdr:row>25</xdr:row>
      <xdr:rowOff>133350</xdr:rowOff>
    </xdr:from>
    <xdr:to>
      <xdr:col>9</xdr:col>
      <xdr:colOff>104774</xdr:colOff>
      <xdr:row>45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761999</xdr:colOff>
      <xdr:row>24</xdr:row>
      <xdr:rowOff>123825</xdr:rowOff>
    </xdr:from>
    <xdr:to>
      <xdr:col>22</xdr:col>
      <xdr:colOff>161925</xdr:colOff>
      <xdr:row>49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221456</xdr:colOff>
      <xdr:row>1</xdr:row>
      <xdr:rowOff>100011</xdr:rowOff>
    </xdr:from>
    <xdr:to>
      <xdr:col>36</xdr:col>
      <xdr:colOff>0</xdr:colOff>
      <xdr:row>20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290511</xdr:colOff>
      <xdr:row>1</xdr:row>
      <xdr:rowOff>104775</xdr:rowOff>
    </xdr:from>
    <xdr:to>
      <xdr:col>43</xdr:col>
      <xdr:colOff>638174</xdr:colOff>
      <xdr:row>22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466752</xdr:colOff>
      <xdr:row>23</xdr:row>
      <xdr:rowOff>107157</xdr:rowOff>
    </xdr:from>
    <xdr:to>
      <xdr:col>35</xdr:col>
      <xdr:colOff>607219</xdr:colOff>
      <xdr:row>37</xdr:row>
      <xdr:rowOff>15358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370297</xdr:colOff>
      <xdr:row>45</xdr:row>
      <xdr:rowOff>38019</xdr:rowOff>
    </xdr:from>
    <xdr:to>
      <xdr:col>37</xdr:col>
      <xdr:colOff>96320</xdr:colOff>
      <xdr:row>59</xdr:row>
      <xdr:rowOff>73550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523875</xdr:colOff>
      <xdr:row>61</xdr:row>
      <xdr:rowOff>11905</xdr:rowOff>
    </xdr:from>
    <xdr:to>
      <xdr:col>29</xdr:col>
      <xdr:colOff>676275</xdr:colOff>
      <xdr:row>78</xdr:row>
      <xdr:rowOff>76198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595312</xdr:colOff>
      <xdr:row>65</xdr:row>
      <xdr:rowOff>178595</xdr:rowOff>
    </xdr:from>
    <xdr:to>
      <xdr:col>21</xdr:col>
      <xdr:colOff>717728</xdr:colOff>
      <xdr:row>90</xdr:row>
      <xdr:rowOff>137175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71438</xdr:colOff>
      <xdr:row>1</xdr:row>
      <xdr:rowOff>71436</xdr:rowOff>
    </xdr:from>
    <xdr:to>
      <xdr:col>25</xdr:col>
      <xdr:colOff>119063</xdr:colOff>
      <xdr:row>22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815578</xdr:colOff>
      <xdr:row>24</xdr:row>
      <xdr:rowOff>57149</xdr:rowOff>
    </xdr:from>
    <xdr:to>
      <xdr:col>25</xdr:col>
      <xdr:colOff>202406</xdr:colOff>
      <xdr:row>43</xdr:row>
      <xdr:rowOff>142873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762000</xdr:colOff>
      <xdr:row>45</xdr:row>
      <xdr:rowOff>107155</xdr:rowOff>
    </xdr:from>
    <xdr:to>
      <xdr:col>25</xdr:col>
      <xdr:colOff>202406</xdr:colOff>
      <xdr:row>63</xdr:row>
      <xdr:rowOff>71436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0</xdr:row>
      <xdr:rowOff>90487</xdr:rowOff>
    </xdr:from>
    <xdr:to>
      <xdr:col>16</xdr:col>
      <xdr:colOff>71437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0</xdr:row>
      <xdr:rowOff>109537</xdr:rowOff>
    </xdr:from>
    <xdr:to>
      <xdr:col>22</xdr:col>
      <xdr:colOff>166687</xdr:colOff>
      <xdr:row>14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242887</xdr:colOff>
      <xdr:row>0</xdr:row>
      <xdr:rowOff>119062</xdr:rowOff>
    </xdr:from>
    <xdr:to>
      <xdr:col>28</xdr:col>
      <xdr:colOff>242887</xdr:colOff>
      <xdr:row>15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190499</xdr:colOff>
      <xdr:row>16</xdr:row>
      <xdr:rowOff>16328</xdr:rowOff>
    </xdr:from>
    <xdr:to>
      <xdr:col>22</xdr:col>
      <xdr:colOff>190499</xdr:colOff>
      <xdr:row>30</xdr:row>
      <xdr:rowOff>78921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204107</xdr:colOff>
      <xdr:row>32</xdr:row>
      <xdr:rowOff>2722</xdr:rowOff>
    </xdr:from>
    <xdr:to>
      <xdr:col>22</xdr:col>
      <xdr:colOff>204107</xdr:colOff>
      <xdr:row>46</xdr:row>
      <xdr:rowOff>78922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494108</xdr:colOff>
      <xdr:row>79</xdr:row>
      <xdr:rowOff>140494</xdr:rowOff>
    </xdr:from>
    <xdr:to>
      <xdr:col>17</xdr:col>
      <xdr:colOff>494108</xdr:colOff>
      <xdr:row>94</xdr:row>
      <xdr:rowOff>26194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458389</xdr:colOff>
      <xdr:row>94</xdr:row>
      <xdr:rowOff>188119</xdr:rowOff>
    </xdr:from>
    <xdr:to>
      <xdr:col>17</xdr:col>
      <xdr:colOff>458389</xdr:colOff>
      <xdr:row>109</xdr:row>
      <xdr:rowOff>73819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541734</xdr:colOff>
      <xdr:row>110</xdr:row>
      <xdr:rowOff>116681</xdr:rowOff>
    </xdr:from>
    <xdr:to>
      <xdr:col>18</xdr:col>
      <xdr:colOff>226218</xdr:colOff>
      <xdr:row>127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135</xdr:row>
      <xdr:rowOff>33336</xdr:rowOff>
    </xdr:from>
    <xdr:to>
      <xdr:col>19</xdr:col>
      <xdr:colOff>152400</xdr:colOff>
      <xdr:row>154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755194</xdr:colOff>
      <xdr:row>24</xdr:row>
      <xdr:rowOff>149679</xdr:rowOff>
    </xdr:from>
    <xdr:to>
      <xdr:col>45</xdr:col>
      <xdr:colOff>204107</xdr:colOff>
      <xdr:row>47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50</xdr:row>
      <xdr:rowOff>0</xdr:rowOff>
    </xdr:from>
    <xdr:to>
      <xdr:col>45</xdr:col>
      <xdr:colOff>360591</xdr:colOff>
      <xdr:row>72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217265</xdr:colOff>
      <xdr:row>47</xdr:row>
      <xdr:rowOff>85115</xdr:rowOff>
    </xdr:from>
    <xdr:to>
      <xdr:col>24</xdr:col>
      <xdr:colOff>843642</xdr:colOff>
      <xdr:row>86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218514</xdr:colOff>
      <xdr:row>88</xdr:row>
      <xdr:rowOff>90766</xdr:rowOff>
    </xdr:from>
    <xdr:to>
      <xdr:col>24</xdr:col>
      <xdr:colOff>857250</xdr:colOff>
      <xdr:row>127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7"/>
  <sheetViews>
    <sheetView workbookViewId="0">
      <selection activeCell="D20" sqref="D20"/>
    </sheetView>
  </sheetViews>
  <sheetFormatPr defaultRowHeight="15" x14ac:dyDescent="0.2"/>
  <cols>
    <col min="4" max="4" width="11.44140625" style="1" customWidth="1"/>
    <col min="5" max="5" width="8.88671875" style="1"/>
    <col min="6" max="6" width="10.44140625" style="1" bestFit="1" customWidth="1"/>
  </cols>
  <sheetData>
    <row r="2" spans="1:8" x14ac:dyDescent="0.2">
      <c r="A2" s="155">
        <v>27690</v>
      </c>
      <c r="B2" s="155"/>
      <c r="C2">
        <v>20.5</v>
      </c>
    </row>
    <row r="4" spans="1:8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5" t="s">
        <v>6</v>
      </c>
    </row>
    <row r="5" spans="1:8" ht="15.75" x14ac:dyDescent="0.25">
      <c r="A5" s="5"/>
      <c r="B5" s="5"/>
      <c r="C5" s="3"/>
      <c r="D5" s="4"/>
      <c r="E5" s="5"/>
      <c r="F5" s="5"/>
    </row>
    <row r="6" spans="1:8" ht="15.75" x14ac:dyDescent="0.25">
      <c r="A6" s="5">
        <v>1</v>
      </c>
      <c r="B6" s="5">
        <v>7.3639999999999997E-2</v>
      </c>
      <c r="C6" s="5">
        <f>0.99999515*(1+0.00000084*(20.5-19.8))</f>
        <v>0.99999573799714825</v>
      </c>
      <c r="D6" s="16">
        <f>B6*C6</f>
        <v>7.3639686146109995E-2</v>
      </c>
      <c r="E6" s="5">
        <v>8</v>
      </c>
      <c r="F6" s="5">
        <v>1.0000000000000001E-5</v>
      </c>
    </row>
    <row r="7" spans="1:8" ht="15.75" x14ac:dyDescent="0.25">
      <c r="A7" s="5">
        <v>2</v>
      </c>
      <c r="B7" s="5">
        <v>0.16446</v>
      </c>
      <c r="C7" s="5">
        <f t="shared" ref="C7:C20" si="0">0.99999515*(1+0.00000084*(20.5-19.8))</f>
        <v>0.99999573799714825</v>
      </c>
      <c r="D7" s="16">
        <f t="shared" ref="D7:D37" si="1">B7*C7</f>
        <v>0.16445929907101101</v>
      </c>
      <c r="E7" s="5">
        <v>8</v>
      </c>
      <c r="F7" s="5">
        <v>1.0000000000000001E-5</v>
      </c>
      <c r="H7" s="14"/>
    </row>
    <row r="8" spans="1:8" ht="15.75" x14ac:dyDescent="0.25">
      <c r="A8" s="5">
        <v>3</v>
      </c>
      <c r="B8" s="5">
        <v>0.32844000000000001</v>
      </c>
      <c r="C8" s="5">
        <f t="shared" si="0"/>
        <v>0.99999573799714825</v>
      </c>
      <c r="D8" s="16">
        <f t="shared" si="1"/>
        <v>0.32843860018778337</v>
      </c>
      <c r="E8" s="5">
        <v>8</v>
      </c>
      <c r="F8" s="5">
        <v>1.0000000000000001E-5</v>
      </c>
      <c r="H8" s="14"/>
    </row>
    <row r="9" spans="1:8" ht="15.75" x14ac:dyDescent="0.25">
      <c r="A9" s="5">
        <v>4</v>
      </c>
      <c r="B9" s="5">
        <v>0.47438000000000002</v>
      </c>
      <c r="C9" s="5">
        <f t="shared" si="0"/>
        <v>0.99999573799714825</v>
      </c>
      <c r="D9" s="16">
        <f t="shared" si="1"/>
        <v>0.47437797819108724</v>
      </c>
      <c r="E9" s="5">
        <v>8</v>
      </c>
      <c r="F9" s="5">
        <v>1.0000000000000001E-5</v>
      </c>
      <c r="H9" s="14"/>
    </row>
    <row r="10" spans="1:8" ht="15.75" x14ac:dyDescent="0.25">
      <c r="A10" s="5">
        <v>5</v>
      </c>
      <c r="B10" s="5">
        <v>0.68750999999999995</v>
      </c>
      <c r="C10" s="5">
        <f t="shared" si="0"/>
        <v>0.99999573799714825</v>
      </c>
      <c r="D10" s="16">
        <f>B10*C10</f>
        <v>0.68750706983041932</v>
      </c>
      <c r="E10" s="5">
        <v>8</v>
      </c>
      <c r="F10" s="5">
        <v>1.0000000000000001E-5</v>
      </c>
      <c r="H10" s="14"/>
    </row>
    <row r="11" spans="1:8" ht="15.75" x14ac:dyDescent="0.25">
      <c r="A11" s="5">
        <v>6</v>
      </c>
      <c r="B11" s="5">
        <v>0.87365999999999999</v>
      </c>
      <c r="C11" s="5">
        <f t="shared" si="0"/>
        <v>0.99999573799714825</v>
      </c>
      <c r="D11" s="16">
        <f t="shared" si="1"/>
        <v>0.87365627645858857</v>
      </c>
      <c r="E11" s="5">
        <v>8</v>
      </c>
      <c r="F11" s="5">
        <v>1.0000000000000001E-5</v>
      </c>
      <c r="H11" s="14"/>
    </row>
    <row r="12" spans="1:8" ht="15.75" x14ac:dyDescent="0.25">
      <c r="A12" s="5">
        <v>7</v>
      </c>
      <c r="B12" s="5">
        <v>1.0733999999999999</v>
      </c>
      <c r="C12" s="5">
        <f t="shared" si="0"/>
        <v>0.99999573799714825</v>
      </c>
      <c r="D12" s="16">
        <f t="shared" si="1"/>
        <v>1.0733954251661388</v>
      </c>
      <c r="E12" s="5">
        <v>8</v>
      </c>
      <c r="F12" s="5">
        <v>1.0000000000000001E-5</v>
      </c>
      <c r="H12" s="14"/>
    </row>
    <row r="13" spans="1:8" ht="15.75" x14ac:dyDescent="0.25">
      <c r="A13" s="5">
        <v>8</v>
      </c>
      <c r="B13" s="5">
        <v>1.27843</v>
      </c>
      <c r="C13" s="5">
        <f t="shared" si="0"/>
        <v>0.99999573799714825</v>
      </c>
      <c r="D13" s="16">
        <f t="shared" si="1"/>
        <v>1.2784245513276942</v>
      </c>
      <c r="E13" s="5">
        <v>8</v>
      </c>
      <c r="F13" s="5">
        <v>1.0000000000000001E-5</v>
      </c>
      <c r="H13" s="14"/>
    </row>
    <row r="14" spans="1:8" ht="15.75" x14ac:dyDescent="0.25">
      <c r="A14" s="5">
        <v>9</v>
      </c>
      <c r="B14" s="5">
        <v>1.52528</v>
      </c>
      <c r="C14" s="5">
        <f t="shared" si="0"/>
        <v>0.99999573799714825</v>
      </c>
      <c r="D14" s="16">
        <f t="shared" si="1"/>
        <v>1.5252734992522903</v>
      </c>
      <c r="E14" s="5">
        <v>8</v>
      </c>
      <c r="F14" s="5">
        <v>1.0000000000000001E-5</v>
      </c>
      <c r="H14" s="14"/>
    </row>
    <row r="15" spans="1:8" ht="15.75" x14ac:dyDescent="0.25">
      <c r="A15" s="5">
        <v>10</v>
      </c>
      <c r="B15" s="5">
        <v>1.7929299999999999</v>
      </c>
      <c r="C15" s="5">
        <f t="shared" si="0"/>
        <v>0.99999573799714825</v>
      </c>
      <c r="D15" s="16">
        <f t="shared" si="1"/>
        <v>1.7929223585272269</v>
      </c>
      <c r="E15" s="5">
        <v>8</v>
      </c>
      <c r="F15" s="5">
        <v>1.0000000000000001E-5</v>
      </c>
      <c r="H15" s="14"/>
    </row>
    <row r="16" spans="1:8" ht="15.75" x14ac:dyDescent="0.25">
      <c r="A16" s="5">
        <v>11</v>
      </c>
      <c r="B16" s="5">
        <v>2.1260500000000002</v>
      </c>
      <c r="C16" s="5">
        <f t="shared" si="0"/>
        <v>0.99999573799714825</v>
      </c>
      <c r="D16" s="16">
        <f t="shared" si="1"/>
        <v>2.126040938768837</v>
      </c>
      <c r="E16" s="5">
        <v>8</v>
      </c>
      <c r="F16" s="5">
        <v>1.0000000000000001E-5</v>
      </c>
      <c r="H16" s="14"/>
    </row>
    <row r="17" spans="1:8" ht="15.75" x14ac:dyDescent="0.25">
      <c r="A17" s="5">
        <v>12</v>
      </c>
      <c r="B17" s="5">
        <v>2.3898100000000002</v>
      </c>
      <c r="C17" s="5">
        <f t="shared" si="0"/>
        <v>0.99999573799714825</v>
      </c>
      <c r="D17" s="16">
        <f t="shared" si="1"/>
        <v>2.3897998146229651</v>
      </c>
      <c r="E17" s="5">
        <v>8</v>
      </c>
      <c r="F17" s="5">
        <v>1.0000000000000001E-5</v>
      </c>
      <c r="H17" s="14"/>
    </row>
    <row r="18" spans="1:8" ht="15.75" x14ac:dyDescent="0.25">
      <c r="A18" s="5">
        <v>13</v>
      </c>
      <c r="B18" s="5">
        <v>2.51546</v>
      </c>
      <c r="C18" s="5">
        <f t="shared" si="0"/>
        <v>0.99999573799714825</v>
      </c>
      <c r="D18" s="16">
        <f t="shared" si="1"/>
        <v>2.5154492791023064</v>
      </c>
      <c r="E18" s="5">
        <v>8</v>
      </c>
      <c r="F18" s="5">
        <v>1.0000000000000001E-5</v>
      </c>
      <c r="H18" s="14"/>
    </row>
    <row r="19" spans="1:8" ht="15.75" x14ac:dyDescent="0.25">
      <c r="A19" s="5">
        <v>14</v>
      </c>
      <c r="B19" s="5">
        <v>2.6449199999999999</v>
      </c>
      <c r="C19" s="5">
        <f t="shared" si="0"/>
        <v>0.99999573799714825</v>
      </c>
      <c r="D19" s="16">
        <f t="shared" si="1"/>
        <v>2.6449087273434171</v>
      </c>
      <c r="E19" s="5">
        <v>8</v>
      </c>
      <c r="F19" s="9">
        <v>0</v>
      </c>
      <c r="H19" s="14"/>
    </row>
    <row r="20" spans="1:8" ht="15.75" x14ac:dyDescent="0.25">
      <c r="A20" s="5">
        <v>15</v>
      </c>
      <c r="B20" s="5">
        <v>2.8738899999999998</v>
      </c>
      <c r="C20" s="5">
        <f t="shared" si="0"/>
        <v>0.99999573799714825</v>
      </c>
      <c r="D20" s="16">
        <f t="shared" si="1"/>
        <v>2.8738777514726244</v>
      </c>
      <c r="E20" s="5">
        <v>8</v>
      </c>
      <c r="F20" s="5">
        <v>1.0000000000000001E-5</v>
      </c>
      <c r="H20" s="14"/>
    </row>
    <row r="21" spans="1:8" ht="15.75" x14ac:dyDescent="0.25">
      <c r="A21" s="1"/>
      <c r="B21" s="1"/>
      <c r="C21" s="1"/>
      <c r="D21" s="10"/>
      <c r="F21" s="1" t="s">
        <v>3</v>
      </c>
      <c r="H21" s="14"/>
    </row>
    <row r="22" spans="1:8" ht="15.75" x14ac:dyDescent="0.25">
      <c r="A22" s="1"/>
      <c r="B22" s="1"/>
      <c r="C22" s="11">
        <v>22</v>
      </c>
      <c r="D22" s="10" t="s">
        <v>3</v>
      </c>
      <c r="F22" s="1" t="s">
        <v>3</v>
      </c>
      <c r="H22" s="14"/>
    </row>
    <row r="23" spans="1:8" ht="15.75" x14ac:dyDescent="0.25">
      <c r="A23" s="5">
        <v>7</v>
      </c>
      <c r="B23" s="5">
        <v>7.9490000000000005E-2</v>
      </c>
      <c r="C23" s="5">
        <f>0.99999515*(1+0.00000084*(22-19.8))</f>
        <v>0.99999699799103714</v>
      </c>
      <c r="D23" s="16">
        <f t="shared" si="1"/>
        <v>7.9489761370307541E-2</v>
      </c>
      <c r="E23" s="5">
        <v>10</v>
      </c>
      <c r="F23" s="5">
        <v>1.0000000000000001E-5</v>
      </c>
      <c r="H23" s="14"/>
    </row>
    <row r="24" spans="1:8" ht="15.75" x14ac:dyDescent="0.25">
      <c r="A24" s="5">
        <v>8</v>
      </c>
      <c r="B24" s="5">
        <v>0.28427999999999998</v>
      </c>
      <c r="C24" s="5">
        <f t="shared" ref="C24:C37" si="2">0.99999515*(1+0.00000084*(22-19.8))</f>
        <v>0.99999699799103714</v>
      </c>
      <c r="D24" s="16">
        <f t="shared" si="1"/>
        <v>0.28427914658889203</v>
      </c>
      <c r="E24" s="5">
        <v>10</v>
      </c>
      <c r="F24" s="5">
        <v>1.0000000000000001E-5</v>
      </c>
      <c r="H24" s="14"/>
    </row>
    <row r="25" spans="1:8" ht="15.75" x14ac:dyDescent="0.25">
      <c r="A25" s="5">
        <v>9</v>
      </c>
      <c r="B25" s="5">
        <v>0.53120999999999996</v>
      </c>
      <c r="C25" s="5">
        <f t="shared" si="2"/>
        <v>0.99999699799103714</v>
      </c>
      <c r="D25" s="16">
        <f t="shared" si="1"/>
        <v>0.53120840530281876</v>
      </c>
      <c r="E25" s="5">
        <v>10</v>
      </c>
      <c r="F25" s="5">
        <v>1.0000000000000001E-5</v>
      </c>
      <c r="H25" s="14"/>
    </row>
    <row r="26" spans="1:8" ht="15.75" x14ac:dyDescent="0.25">
      <c r="A26" s="5">
        <v>10</v>
      </c>
      <c r="B26" s="5">
        <v>0.79876000000000003</v>
      </c>
      <c r="C26" s="5">
        <f t="shared" si="2"/>
        <v>0.99999699799103714</v>
      </c>
      <c r="D26" s="16">
        <f t="shared" si="1"/>
        <v>0.79875760211532087</v>
      </c>
      <c r="E26" s="5">
        <v>10</v>
      </c>
      <c r="F26" s="5">
        <v>1.0000000000000001E-5</v>
      </c>
      <c r="H26" s="14"/>
    </row>
    <row r="27" spans="1:8" ht="15.75" x14ac:dyDescent="0.25">
      <c r="A27" s="5">
        <v>11</v>
      </c>
      <c r="B27" s="5">
        <v>1.1318699999999999</v>
      </c>
      <c r="C27" s="5">
        <f t="shared" si="2"/>
        <v>0.99999699799103714</v>
      </c>
      <c r="D27" s="16">
        <f t="shared" si="1"/>
        <v>1.1318666021161152</v>
      </c>
      <c r="E27" s="5">
        <v>10</v>
      </c>
      <c r="F27" s="5">
        <v>2.0000000000000002E-5</v>
      </c>
      <c r="H27" s="14"/>
    </row>
    <row r="28" spans="1:8" ht="15.75" x14ac:dyDescent="0.25">
      <c r="A28" s="5">
        <v>12</v>
      </c>
      <c r="B28" s="5">
        <v>1.39561</v>
      </c>
      <c r="C28" s="5">
        <f t="shared" si="2"/>
        <v>0.99999699799103714</v>
      </c>
      <c r="D28" s="16">
        <f t="shared" si="1"/>
        <v>1.3956058103662714</v>
      </c>
      <c r="E28" s="5">
        <v>10</v>
      </c>
      <c r="F28" s="5">
        <v>1.0000000000000001E-5</v>
      </c>
      <c r="H28" s="14"/>
    </row>
    <row r="29" spans="1:8" ht="15.75" x14ac:dyDescent="0.25">
      <c r="A29" s="5">
        <v>13</v>
      </c>
      <c r="B29" s="5">
        <v>1.5213099999999999</v>
      </c>
      <c r="C29" s="5">
        <f t="shared" si="2"/>
        <v>0.99999699799103714</v>
      </c>
      <c r="D29" s="16">
        <f t="shared" si="1"/>
        <v>1.5213054330137445</v>
      </c>
      <c r="E29" s="5">
        <v>10</v>
      </c>
      <c r="F29" s="5">
        <v>1.0000000000000001E-5</v>
      </c>
      <c r="H29" s="14"/>
    </row>
    <row r="30" spans="1:8" ht="15.75" x14ac:dyDescent="0.25">
      <c r="A30" s="5">
        <v>14</v>
      </c>
      <c r="B30" s="5">
        <v>1.65076</v>
      </c>
      <c r="C30" s="5">
        <f t="shared" si="2"/>
        <v>0.99999699799103714</v>
      </c>
      <c r="D30" s="16">
        <f t="shared" si="1"/>
        <v>1.6507550444036845</v>
      </c>
      <c r="E30" s="5">
        <v>10</v>
      </c>
      <c r="F30" s="5">
        <v>2.0000000000000002E-5</v>
      </c>
      <c r="H30" s="14"/>
    </row>
    <row r="31" spans="1:8" ht="15.75" x14ac:dyDescent="0.25">
      <c r="A31" s="5">
        <v>15</v>
      </c>
      <c r="B31" s="5">
        <v>1.87974</v>
      </c>
      <c r="C31" s="5">
        <f t="shared" si="2"/>
        <v>0.99999699799103714</v>
      </c>
      <c r="D31" s="16">
        <f t="shared" si="1"/>
        <v>1.8797343570036722</v>
      </c>
      <c r="E31" s="5">
        <v>10</v>
      </c>
      <c r="F31" s="5">
        <v>1.0000000000000001E-5</v>
      </c>
      <c r="H31" s="14"/>
    </row>
    <row r="32" spans="1:8" ht="15.75" x14ac:dyDescent="0.25">
      <c r="A32" s="5">
        <v>16</v>
      </c>
      <c r="B32" s="5">
        <v>2.0619800000000001</v>
      </c>
      <c r="C32" s="5">
        <f t="shared" si="2"/>
        <v>0.99999699799103714</v>
      </c>
      <c r="D32" s="16">
        <f>B32*C32</f>
        <v>2.0619738099175589</v>
      </c>
      <c r="E32" s="5">
        <v>10</v>
      </c>
      <c r="F32" s="5">
        <v>1.0000000000000001E-5</v>
      </c>
      <c r="H32" s="14"/>
    </row>
    <row r="33" spans="1:8" ht="15.75" x14ac:dyDescent="0.25">
      <c r="A33" s="5">
        <v>17</v>
      </c>
      <c r="B33" s="5">
        <v>2.2139600000000002</v>
      </c>
      <c r="C33" s="5">
        <f t="shared" si="2"/>
        <v>0.99999699799103714</v>
      </c>
      <c r="D33" s="16">
        <f t="shared" si="1"/>
        <v>2.2139533536722369</v>
      </c>
      <c r="E33" s="5">
        <v>10</v>
      </c>
      <c r="F33" s="5">
        <v>1.0000000000000001E-5</v>
      </c>
      <c r="H33" s="14"/>
    </row>
    <row r="34" spans="1:8" ht="15.75" x14ac:dyDescent="0.25">
      <c r="A34" s="5">
        <v>18</v>
      </c>
      <c r="B34" s="5">
        <v>2.3663099999999999</v>
      </c>
      <c r="C34" s="5">
        <f t="shared" si="2"/>
        <v>0.99999699799103714</v>
      </c>
      <c r="D34" s="16">
        <f t="shared" si="1"/>
        <v>2.3663028963161712</v>
      </c>
      <c r="E34" s="5">
        <v>10</v>
      </c>
      <c r="F34" s="5">
        <v>1.0000000000000001E-5</v>
      </c>
      <c r="H34" s="14"/>
    </row>
    <row r="35" spans="1:8" ht="15.75" x14ac:dyDescent="0.25">
      <c r="A35" s="5">
        <v>19</v>
      </c>
      <c r="B35" s="5">
        <v>2.5243799999999998</v>
      </c>
      <c r="C35" s="5">
        <f t="shared" si="2"/>
        <v>0.99999699799103714</v>
      </c>
      <c r="D35" s="16">
        <f t="shared" si="1"/>
        <v>2.5243724217886143</v>
      </c>
      <c r="E35" s="5">
        <v>10</v>
      </c>
      <c r="F35" s="5">
        <v>1.0000000000000001E-5</v>
      </c>
      <c r="H35" s="14"/>
    </row>
    <row r="36" spans="1:8" ht="15.75" x14ac:dyDescent="0.25">
      <c r="A36" s="5">
        <v>20</v>
      </c>
      <c r="B36" s="5">
        <v>2.6730800000000001</v>
      </c>
      <c r="C36" s="5">
        <f t="shared" si="2"/>
        <v>0.99999699799103714</v>
      </c>
      <c r="D36" s="16">
        <f t="shared" si="1"/>
        <v>2.6730719753898815</v>
      </c>
      <c r="E36" s="5">
        <v>10</v>
      </c>
      <c r="F36" s="5">
        <v>1.0000000000000001E-5</v>
      </c>
      <c r="H36" s="14"/>
    </row>
    <row r="37" spans="1:8" ht="15.75" x14ac:dyDescent="0.25">
      <c r="A37" s="5">
        <v>21</v>
      </c>
      <c r="B37" s="5">
        <v>2.88266</v>
      </c>
      <c r="C37" s="5">
        <f t="shared" si="2"/>
        <v>0.99999699799103714</v>
      </c>
      <c r="D37" s="16">
        <f t="shared" si="1"/>
        <v>2.882651346228843</v>
      </c>
      <c r="E37" s="5">
        <v>10</v>
      </c>
      <c r="F37" s="5">
        <v>2.0000000000000002E-5</v>
      </c>
      <c r="H37" s="14"/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V41"/>
  <sheetViews>
    <sheetView topLeftCell="HE1" zoomScale="80" zoomScaleNormal="80" workbookViewId="0">
      <selection activeCell="HX4" sqref="HX4"/>
    </sheetView>
  </sheetViews>
  <sheetFormatPr defaultRowHeight="15" x14ac:dyDescent="0.2"/>
  <cols>
    <col min="1" max="1" width="6.21875" bestFit="1" customWidth="1"/>
    <col min="2" max="2" width="8" bestFit="1" customWidth="1"/>
    <col min="3" max="3" width="12" bestFit="1" customWidth="1"/>
    <col min="4" max="4" width="9.5546875" bestFit="1" customWidth="1"/>
    <col min="5" max="5" width="8.21875" style="1" bestFit="1" customWidth="1"/>
    <col min="6" max="6" width="8.77734375" bestFit="1" customWidth="1"/>
    <col min="7" max="7" width="3.6640625" customWidth="1"/>
    <col min="8" max="8" width="3.33203125" bestFit="1" customWidth="1"/>
    <col min="9" max="9" width="8" bestFit="1" customWidth="1"/>
    <col min="10" max="10" width="12" bestFit="1" customWidth="1"/>
    <col min="11" max="11" width="9.5546875" bestFit="1" customWidth="1"/>
    <col min="12" max="12" width="8.21875" bestFit="1" customWidth="1"/>
    <col min="13" max="13" width="8.77734375" bestFit="1" customWidth="1"/>
    <col min="14" max="14" width="3.6640625" customWidth="1"/>
    <col min="15" max="15" width="3.33203125" bestFit="1" customWidth="1"/>
    <col min="16" max="16" width="8" bestFit="1" customWidth="1"/>
    <col min="17" max="17" width="12" bestFit="1" customWidth="1"/>
    <col min="18" max="18" width="9.5546875" bestFit="1" customWidth="1"/>
    <col min="19" max="19" width="8.21875" bestFit="1" customWidth="1"/>
    <col min="20" max="20" width="8.77734375" bestFit="1" customWidth="1"/>
    <col min="21" max="21" width="3.6640625" customWidth="1"/>
    <col min="22" max="22" width="3.33203125" bestFit="1" customWidth="1"/>
    <col min="23" max="23" width="8" bestFit="1" customWidth="1"/>
    <col min="24" max="24" width="12" bestFit="1" customWidth="1"/>
    <col min="25" max="25" width="9.5546875" bestFit="1" customWidth="1"/>
    <col min="26" max="26" width="8.21875" bestFit="1" customWidth="1"/>
    <col min="27" max="27" width="8.77734375" bestFit="1" customWidth="1"/>
    <col min="29" max="29" width="3.33203125" bestFit="1" customWidth="1"/>
    <col min="30" max="30" width="8" bestFit="1" customWidth="1"/>
    <col min="31" max="31" width="12" bestFit="1" customWidth="1"/>
    <col min="32" max="32" width="9.5546875" bestFit="1" customWidth="1"/>
    <col min="33" max="33" width="8.21875" bestFit="1" customWidth="1"/>
    <col min="34" max="34" width="8.77734375" bestFit="1" customWidth="1"/>
    <col min="36" max="36" width="3.33203125" bestFit="1" customWidth="1"/>
    <col min="37" max="37" width="8" bestFit="1" customWidth="1"/>
    <col min="38" max="38" width="12" bestFit="1" customWidth="1"/>
    <col min="39" max="39" width="9.5546875" bestFit="1" customWidth="1"/>
    <col min="40" max="40" width="8.21875" bestFit="1" customWidth="1"/>
    <col min="41" max="41" width="8.77734375" bestFit="1" customWidth="1"/>
    <col min="43" max="43" width="3.33203125" bestFit="1" customWidth="1"/>
    <col min="44" max="44" width="7.44140625" bestFit="1" customWidth="1"/>
    <col min="45" max="45" width="12" bestFit="1" customWidth="1"/>
    <col min="46" max="46" width="9.5546875" bestFit="1" customWidth="1"/>
    <col min="47" max="47" width="8.21875" bestFit="1" customWidth="1"/>
    <col min="48" max="48" width="8.77734375" bestFit="1" customWidth="1"/>
    <col min="50" max="50" width="3.33203125" bestFit="1" customWidth="1"/>
    <col min="51" max="51" width="7.44140625" bestFit="1" customWidth="1"/>
    <col min="52" max="52" width="12" bestFit="1" customWidth="1"/>
    <col min="53" max="53" width="9.5546875" bestFit="1" customWidth="1"/>
    <col min="54" max="54" width="8.21875" bestFit="1" customWidth="1"/>
    <col min="55" max="55" width="8.77734375" bestFit="1" customWidth="1"/>
    <col min="57" max="57" width="3.33203125" bestFit="1" customWidth="1"/>
    <col min="58" max="58" width="7.44140625" bestFit="1" customWidth="1"/>
    <col min="59" max="59" width="12" bestFit="1" customWidth="1"/>
    <col min="60" max="60" width="9.5546875" bestFit="1" customWidth="1"/>
    <col min="61" max="61" width="8.21875" bestFit="1" customWidth="1"/>
    <col min="62" max="62" width="8.77734375" bestFit="1" customWidth="1"/>
    <col min="64" max="64" width="3.33203125" bestFit="1" customWidth="1"/>
    <col min="65" max="65" width="8" bestFit="1" customWidth="1"/>
    <col min="66" max="66" width="11" bestFit="1" customWidth="1"/>
    <col min="67" max="67" width="9.5546875" bestFit="1" customWidth="1"/>
    <col min="68" max="68" width="8.21875" bestFit="1" customWidth="1"/>
    <col min="69" max="69" width="8.77734375" bestFit="1" customWidth="1"/>
    <col min="70" max="70" width="3.88671875" customWidth="1"/>
    <col min="71" max="71" width="3.33203125" bestFit="1" customWidth="1"/>
    <col min="72" max="72" width="8" bestFit="1" customWidth="1"/>
    <col min="73" max="73" width="12" bestFit="1" customWidth="1"/>
    <col min="74" max="74" width="9.5546875" bestFit="1" customWidth="1"/>
    <col min="75" max="75" width="8.21875" bestFit="1" customWidth="1"/>
    <col min="76" max="76" width="8.77734375" bestFit="1" customWidth="1"/>
    <col min="77" max="77" width="3.88671875" customWidth="1"/>
    <col min="78" max="78" width="3.33203125" bestFit="1" customWidth="1"/>
    <col min="79" max="79" width="7.44140625" bestFit="1" customWidth="1"/>
    <col min="80" max="80" width="12" bestFit="1" customWidth="1"/>
    <col min="81" max="81" width="9.5546875" bestFit="1" customWidth="1"/>
    <col min="82" max="82" width="8.21875" bestFit="1" customWidth="1"/>
    <col min="83" max="83" width="8.77734375" bestFit="1" customWidth="1"/>
    <col min="84" max="84" width="3.77734375" customWidth="1"/>
    <col min="85" max="85" width="3.33203125" bestFit="1" customWidth="1"/>
    <col min="86" max="86" width="7.44140625" bestFit="1" customWidth="1"/>
    <col min="87" max="87" width="12" bestFit="1" customWidth="1"/>
    <col min="88" max="88" width="9.5546875" bestFit="1" customWidth="1"/>
    <col min="89" max="89" width="8.21875" bestFit="1" customWidth="1"/>
    <col min="90" max="90" width="8.77734375" bestFit="1" customWidth="1"/>
    <col min="91" max="91" width="3.77734375" customWidth="1"/>
    <col min="92" max="92" width="3.33203125" bestFit="1" customWidth="1"/>
    <col min="93" max="93" width="7.44140625" bestFit="1" customWidth="1"/>
    <col min="94" max="94" width="11" bestFit="1" customWidth="1"/>
    <col min="95" max="95" width="9.5546875" bestFit="1" customWidth="1"/>
    <col min="96" max="96" width="8.21875" customWidth="1"/>
    <col min="97" max="97" width="8.77734375" bestFit="1" customWidth="1"/>
    <col min="98" max="98" width="3.44140625" customWidth="1"/>
    <col min="99" max="99" width="3.33203125" bestFit="1" customWidth="1"/>
    <col min="100" max="100" width="7.44140625" bestFit="1" customWidth="1"/>
    <col min="101" max="101" width="12" bestFit="1" customWidth="1"/>
    <col min="102" max="102" width="9.5546875" bestFit="1" customWidth="1"/>
    <col min="103" max="103" width="8.21875" bestFit="1" customWidth="1"/>
    <col min="104" max="104" width="8.77734375" bestFit="1" customWidth="1"/>
    <col min="105" max="105" width="3.44140625" customWidth="1"/>
    <col min="106" max="106" width="3.33203125" bestFit="1" customWidth="1"/>
    <col min="107" max="107" width="7.44140625" bestFit="1" customWidth="1"/>
    <col min="108" max="108" width="12" bestFit="1" customWidth="1"/>
    <col min="109" max="109" width="9.5546875" bestFit="1" customWidth="1"/>
    <col min="110" max="110" width="8.21875" bestFit="1" customWidth="1"/>
    <col min="111" max="111" width="8.77734375" bestFit="1" customWidth="1"/>
    <col min="112" max="112" width="3.44140625" customWidth="1"/>
    <col min="113" max="113" width="3.33203125" bestFit="1" customWidth="1"/>
    <col min="114" max="114" width="7.44140625" bestFit="1" customWidth="1"/>
    <col min="115" max="115" width="12" bestFit="1" customWidth="1"/>
    <col min="116" max="116" width="9.5546875" bestFit="1" customWidth="1"/>
    <col min="117" max="117" width="8.21875" bestFit="1" customWidth="1"/>
    <col min="118" max="118" width="8.77734375" bestFit="1" customWidth="1"/>
    <col min="119" max="119" width="3.33203125" customWidth="1"/>
    <col min="120" max="120" width="3.33203125" bestFit="1" customWidth="1"/>
    <col min="121" max="121" width="7.44140625" bestFit="1" customWidth="1"/>
    <col min="122" max="122" width="12" bestFit="1" customWidth="1"/>
    <col min="123" max="123" width="9.5546875" bestFit="1" customWidth="1"/>
    <col min="124" max="124" width="8.21875" bestFit="1" customWidth="1"/>
    <col min="125" max="125" width="8.77734375" bestFit="1" customWidth="1"/>
    <col min="126" max="126" width="3.44140625" customWidth="1"/>
    <col min="127" max="127" width="3.33203125" bestFit="1" customWidth="1"/>
    <col min="128" max="128" width="7.44140625" bestFit="1" customWidth="1"/>
    <col min="129" max="129" width="12" bestFit="1" customWidth="1"/>
    <col min="130" max="130" width="9.5546875" bestFit="1" customWidth="1"/>
    <col min="131" max="131" width="8.21875" bestFit="1" customWidth="1"/>
    <col min="132" max="132" width="8.77734375" bestFit="1" customWidth="1"/>
    <col min="133" max="133" width="2.44140625" customWidth="1"/>
    <col min="134" max="134" width="3.33203125" bestFit="1" customWidth="1"/>
    <col min="135" max="135" width="7.44140625" bestFit="1" customWidth="1"/>
    <col min="136" max="136" width="12" bestFit="1" customWidth="1"/>
    <col min="137" max="137" width="9.5546875" bestFit="1" customWidth="1"/>
    <col min="138" max="138" width="8.21875" bestFit="1" customWidth="1"/>
    <col min="139" max="139" width="8.77734375" bestFit="1" customWidth="1"/>
    <col min="140" max="140" width="2.5546875" customWidth="1"/>
    <col min="141" max="141" width="3.33203125" bestFit="1" customWidth="1"/>
    <col min="142" max="142" width="7.44140625" bestFit="1" customWidth="1"/>
    <col min="143" max="143" width="12" bestFit="1" customWidth="1"/>
    <col min="144" max="144" width="9.5546875" bestFit="1" customWidth="1"/>
    <col min="145" max="145" width="8.21875" bestFit="1" customWidth="1"/>
    <col min="146" max="146" width="8.77734375" bestFit="1" customWidth="1"/>
    <col min="147" max="147" width="2.44140625" customWidth="1"/>
    <col min="151" max="151" width="9.33203125" customWidth="1"/>
    <col min="154" max="154" width="2.88671875" customWidth="1"/>
    <col min="158" max="158" width="9.33203125" customWidth="1"/>
    <col min="161" max="161" width="2.6640625" customWidth="1"/>
    <col min="168" max="168" width="2.88671875" customWidth="1"/>
    <col min="175" max="175" width="2.21875" customWidth="1"/>
    <col min="182" max="182" width="2.88671875" customWidth="1"/>
    <col min="189" max="189" width="2.21875" customWidth="1"/>
    <col min="196" max="196" width="2.44140625" customWidth="1"/>
    <col min="203" max="203" width="2.44140625" customWidth="1"/>
    <col min="210" max="210" width="3" customWidth="1"/>
    <col min="217" max="217" width="3" customWidth="1"/>
    <col min="224" max="224" width="3.77734375" customWidth="1"/>
  </cols>
  <sheetData>
    <row r="1" spans="1:230" x14ac:dyDescent="0.2">
      <c r="A1" s="155">
        <v>26296</v>
      </c>
      <c r="B1" s="155"/>
    </row>
    <row r="2" spans="1:230" x14ac:dyDescent="0.2">
      <c r="A2" s="20">
        <v>43027</v>
      </c>
      <c r="B2" s="20"/>
      <c r="C2" s="20"/>
      <c r="J2" s="20">
        <v>43101</v>
      </c>
      <c r="Q2" s="20">
        <v>43157</v>
      </c>
      <c r="R2" t="s">
        <v>145</v>
      </c>
      <c r="X2" s="20">
        <v>43157</v>
      </c>
      <c r="Y2" t="s">
        <v>141</v>
      </c>
      <c r="AE2" s="20">
        <v>43187</v>
      </c>
      <c r="AF2" t="s">
        <v>141</v>
      </c>
      <c r="AL2" s="20">
        <v>43220</v>
      </c>
      <c r="AM2" t="s">
        <v>141</v>
      </c>
      <c r="AS2" s="20">
        <v>43265</v>
      </c>
      <c r="AT2" t="s">
        <v>141</v>
      </c>
      <c r="AZ2" s="20">
        <v>43342</v>
      </c>
      <c r="BA2" t="s">
        <v>145</v>
      </c>
      <c r="BG2" s="20">
        <v>43384</v>
      </c>
      <c r="BH2" t="s">
        <v>145</v>
      </c>
      <c r="BN2" s="20">
        <v>43440</v>
      </c>
      <c r="BO2" t="s">
        <v>145</v>
      </c>
      <c r="BU2" s="20">
        <v>43474</v>
      </c>
      <c r="BV2" t="s">
        <v>145</v>
      </c>
      <c r="CB2" s="20">
        <v>43508</v>
      </c>
      <c r="CC2" t="s">
        <v>145</v>
      </c>
      <c r="CI2" s="20">
        <v>43536</v>
      </c>
      <c r="CJ2" t="s">
        <v>145</v>
      </c>
      <c r="CP2" s="20">
        <v>43587</v>
      </c>
      <c r="CQ2" t="s">
        <v>145</v>
      </c>
      <c r="CW2" s="20">
        <v>43647</v>
      </c>
      <c r="CX2" t="s">
        <v>145</v>
      </c>
      <c r="DD2" s="20">
        <v>43678</v>
      </c>
      <c r="DE2" t="s">
        <v>145</v>
      </c>
      <c r="DK2" s="20">
        <v>43719</v>
      </c>
      <c r="DL2" t="s">
        <v>145</v>
      </c>
      <c r="DR2" s="20">
        <v>43762</v>
      </c>
      <c r="DS2" t="s">
        <v>145</v>
      </c>
      <c r="DY2" s="20">
        <v>43790</v>
      </c>
      <c r="DZ2" t="s">
        <v>145</v>
      </c>
      <c r="EF2" s="20">
        <v>43809</v>
      </c>
      <c r="EG2" t="s">
        <v>145</v>
      </c>
      <c r="EM2" s="20">
        <v>43907</v>
      </c>
      <c r="EN2" t="s">
        <v>145</v>
      </c>
      <c r="ET2" s="20">
        <v>43929</v>
      </c>
      <c r="EU2" t="s">
        <v>145</v>
      </c>
      <c r="FA2" s="20">
        <v>43963</v>
      </c>
      <c r="FB2" t="s">
        <v>145</v>
      </c>
      <c r="FH2" s="20">
        <v>43990</v>
      </c>
      <c r="FI2" t="s">
        <v>145</v>
      </c>
      <c r="FO2" s="20">
        <v>43997</v>
      </c>
      <c r="FP2" t="s">
        <v>145</v>
      </c>
      <c r="FV2" s="20">
        <v>44013</v>
      </c>
      <c r="FW2" t="s">
        <v>145</v>
      </c>
      <c r="GC2" s="20">
        <v>44025</v>
      </c>
      <c r="GD2" t="s">
        <v>145</v>
      </c>
      <c r="GJ2" s="20">
        <v>44062</v>
      </c>
      <c r="GK2" t="s">
        <v>145</v>
      </c>
      <c r="GQ2" s="20">
        <v>44091</v>
      </c>
      <c r="GR2" t="s">
        <v>145</v>
      </c>
      <c r="GX2" s="20">
        <v>44152</v>
      </c>
      <c r="GY2" t="s">
        <v>145</v>
      </c>
      <c r="HE2" s="20">
        <v>44208</v>
      </c>
      <c r="HF2" t="s">
        <v>145</v>
      </c>
      <c r="HL2" s="20">
        <v>44363</v>
      </c>
      <c r="HM2" t="s">
        <v>145</v>
      </c>
      <c r="HS2" s="20">
        <v>44461</v>
      </c>
      <c r="HT2" t="s">
        <v>145</v>
      </c>
    </row>
    <row r="3" spans="1:230" x14ac:dyDescent="0.2">
      <c r="HF3" t="s">
        <v>419</v>
      </c>
      <c r="HM3" t="s">
        <v>419</v>
      </c>
      <c r="HT3" t="s">
        <v>419</v>
      </c>
    </row>
    <row r="4" spans="1:230" ht="15.75" x14ac:dyDescent="0.25">
      <c r="A4" s="2" t="s">
        <v>0</v>
      </c>
      <c r="B4" s="2" t="s">
        <v>1</v>
      </c>
      <c r="C4" s="3" t="s">
        <v>2</v>
      </c>
      <c r="D4" s="7" t="s">
        <v>4</v>
      </c>
      <c r="E4" s="5" t="s">
        <v>5</v>
      </c>
      <c r="F4" s="3" t="s">
        <v>6</v>
      </c>
      <c r="H4" s="2" t="s">
        <v>0</v>
      </c>
      <c r="I4" s="2" t="s">
        <v>1</v>
      </c>
      <c r="J4" s="3" t="s">
        <v>2</v>
      </c>
      <c r="K4" s="7" t="s">
        <v>4</v>
      </c>
      <c r="L4" s="5" t="s">
        <v>5</v>
      </c>
      <c r="M4" s="3" t="s">
        <v>6</v>
      </c>
      <c r="O4" s="2" t="s">
        <v>0</v>
      </c>
      <c r="P4" s="2" t="s">
        <v>1</v>
      </c>
      <c r="Q4" s="3" t="s">
        <v>2</v>
      </c>
      <c r="R4" s="7" t="s">
        <v>4</v>
      </c>
      <c r="S4" s="5" t="s">
        <v>5</v>
      </c>
      <c r="T4" s="3" t="s">
        <v>6</v>
      </c>
      <c r="V4" s="2" t="s">
        <v>0</v>
      </c>
      <c r="W4" s="2" t="s">
        <v>1</v>
      </c>
      <c r="X4" s="3" t="s">
        <v>2</v>
      </c>
      <c r="Y4" s="7" t="s">
        <v>4</v>
      </c>
      <c r="Z4" s="5" t="s">
        <v>5</v>
      </c>
      <c r="AA4" s="3" t="s">
        <v>6</v>
      </c>
      <c r="AC4" s="2" t="s">
        <v>0</v>
      </c>
      <c r="AD4" s="2" t="s">
        <v>1</v>
      </c>
      <c r="AE4" s="3" t="s">
        <v>2</v>
      </c>
      <c r="AF4" s="7" t="s">
        <v>4</v>
      </c>
      <c r="AG4" s="5" t="s">
        <v>5</v>
      </c>
      <c r="AH4" s="3" t="s">
        <v>6</v>
      </c>
      <c r="AJ4" s="2" t="s">
        <v>0</v>
      </c>
      <c r="AK4" s="2" t="s">
        <v>1</v>
      </c>
      <c r="AL4" s="3" t="s">
        <v>2</v>
      </c>
      <c r="AM4" s="7" t="s">
        <v>4</v>
      </c>
      <c r="AN4" s="5" t="s">
        <v>5</v>
      </c>
      <c r="AO4" s="3" t="s">
        <v>6</v>
      </c>
      <c r="AQ4" s="2" t="s">
        <v>0</v>
      </c>
      <c r="AR4" s="2" t="s">
        <v>1</v>
      </c>
      <c r="AS4" s="3" t="s">
        <v>2</v>
      </c>
      <c r="AT4" s="7" t="s">
        <v>4</v>
      </c>
      <c r="AU4" s="5" t="s">
        <v>5</v>
      </c>
      <c r="AV4" s="3" t="s">
        <v>6</v>
      </c>
      <c r="AX4" s="2" t="s">
        <v>0</v>
      </c>
      <c r="AY4" s="2" t="s">
        <v>1</v>
      </c>
      <c r="AZ4" s="3" t="s">
        <v>2</v>
      </c>
      <c r="BA4" s="7" t="s">
        <v>4</v>
      </c>
      <c r="BB4" s="5" t="s">
        <v>5</v>
      </c>
      <c r="BC4" s="3" t="s">
        <v>6</v>
      </c>
      <c r="BE4" s="2" t="s">
        <v>0</v>
      </c>
      <c r="BF4" s="2" t="s">
        <v>1</v>
      </c>
      <c r="BG4" s="3" t="s">
        <v>2</v>
      </c>
      <c r="BH4" s="7" t="s">
        <v>4</v>
      </c>
      <c r="BI4" s="5" t="s">
        <v>5</v>
      </c>
      <c r="BJ4" s="3" t="s">
        <v>6</v>
      </c>
      <c r="BL4" s="2" t="s">
        <v>0</v>
      </c>
      <c r="BM4" s="2" t="s">
        <v>1</v>
      </c>
      <c r="BN4" s="3" t="s">
        <v>2</v>
      </c>
      <c r="BO4" s="7" t="s">
        <v>4</v>
      </c>
      <c r="BP4" s="5" t="s">
        <v>5</v>
      </c>
      <c r="BQ4" s="3" t="s">
        <v>6</v>
      </c>
      <c r="BS4" s="2" t="s">
        <v>0</v>
      </c>
      <c r="BT4" s="2" t="s">
        <v>1</v>
      </c>
      <c r="BU4" s="3" t="s">
        <v>2</v>
      </c>
      <c r="BV4" s="7" t="s">
        <v>4</v>
      </c>
      <c r="BW4" s="5" t="s">
        <v>5</v>
      </c>
      <c r="BX4" s="3" t="s">
        <v>6</v>
      </c>
      <c r="BZ4" s="2" t="s">
        <v>0</v>
      </c>
      <c r="CA4" s="2" t="s">
        <v>1</v>
      </c>
      <c r="CB4" s="3" t="s">
        <v>2</v>
      </c>
      <c r="CC4" s="7" t="s">
        <v>4</v>
      </c>
      <c r="CD4" s="5" t="s">
        <v>5</v>
      </c>
      <c r="CE4" s="3" t="s">
        <v>6</v>
      </c>
      <c r="CG4" s="2" t="s">
        <v>0</v>
      </c>
      <c r="CH4" s="2" t="s">
        <v>1</v>
      </c>
      <c r="CI4" s="3" t="s">
        <v>2</v>
      </c>
      <c r="CJ4" s="7" t="s">
        <v>4</v>
      </c>
      <c r="CK4" s="5" t="s">
        <v>5</v>
      </c>
      <c r="CL4" s="3" t="s">
        <v>6</v>
      </c>
      <c r="CN4" s="2" t="s">
        <v>0</v>
      </c>
      <c r="CO4" s="2" t="s">
        <v>1</v>
      </c>
      <c r="CP4" s="3" t="s">
        <v>2</v>
      </c>
      <c r="CQ4" s="7" t="s">
        <v>4</v>
      </c>
      <c r="CR4" s="5" t="s">
        <v>5</v>
      </c>
      <c r="CS4" s="3" t="s">
        <v>6</v>
      </c>
      <c r="CU4" s="2" t="s">
        <v>0</v>
      </c>
      <c r="CV4" s="2" t="s">
        <v>1</v>
      </c>
      <c r="CW4" s="3" t="s">
        <v>2</v>
      </c>
      <c r="CX4" s="7" t="s">
        <v>4</v>
      </c>
      <c r="CY4" s="5" t="s">
        <v>5</v>
      </c>
      <c r="CZ4" s="3" t="s">
        <v>6</v>
      </c>
      <c r="DB4" s="2" t="s">
        <v>0</v>
      </c>
      <c r="DC4" s="2" t="s">
        <v>1</v>
      </c>
      <c r="DD4" s="3" t="s">
        <v>2</v>
      </c>
      <c r="DE4" s="7" t="s">
        <v>4</v>
      </c>
      <c r="DF4" s="5" t="s">
        <v>5</v>
      </c>
      <c r="DG4" s="3" t="s">
        <v>6</v>
      </c>
      <c r="DI4" s="2" t="s">
        <v>0</v>
      </c>
      <c r="DJ4" s="2" t="s">
        <v>1</v>
      </c>
      <c r="DK4" s="3" t="s">
        <v>2</v>
      </c>
      <c r="DL4" s="7" t="s">
        <v>4</v>
      </c>
      <c r="DM4" s="5" t="s">
        <v>5</v>
      </c>
      <c r="DN4" s="3" t="s">
        <v>6</v>
      </c>
      <c r="DP4" s="2" t="s">
        <v>0</v>
      </c>
      <c r="DQ4" s="2" t="s">
        <v>1</v>
      </c>
      <c r="DR4" s="3" t="s">
        <v>2</v>
      </c>
      <c r="DS4" s="7" t="s">
        <v>4</v>
      </c>
      <c r="DT4" s="5" t="s">
        <v>5</v>
      </c>
      <c r="DU4" s="3" t="s">
        <v>6</v>
      </c>
      <c r="DW4" s="2" t="s">
        <v>0</v>
      </c>
      <c r="DX4" s="2" t="s">
        <v>1</v>
      </c>
      <c r="DY4" s="3" t="s">
        <v>2</v>
      </c>
      <c r="DZ4" s="7" t="s">
        <v>4</v>
      </c>
      <c r="EA4" s="5" t="s">
        <v>5</v>
      </c>
      <c r="EB4" s="3" t="s">
        <v>6</v>
      </c>
      <c r="ED4" s="2" t="s">
        <v>0</v>
      </c>
      <c r="EE4" s="2" t="s">
        <v>1</v>
      </c>
      <c r="EF4" s="3" t="s">
        <v>2</v>
      </c>
      <c r="EG4" s="7" t="s">
        <v>4</v>
      </c>
      <c r="EH4" s="5" t="s">
        <v>5</v>
      </c>
      <c r="EI4" s="3" t="s">
        <v>6</v>
      </c>
      <c r="EK4" s="2" t="s">
        <v>0</v>
      </c>
      <c r="EL4" s="2" t="s">
        <v>1</v>
      </c>
      <c r="EM4" s="3" t="s">
        <v>2</v>
      </c>
      <c r="EN4" s="7" t="s">
        <v>4</v>
      </c>
      <c r="EO4" s="5" t="s">
        <v>5</v>
      </c>
      <c r="EP4" s="3" t="s">
        <v>6</v>
      </c>
      <c r="ER4" s="2" t="s">
        <v>0</v>
      </c>
      <c r="ES4" s="2" t="s">
        <v>1</v>
      </c>
      <c r="ET4" s="3" t="s">
        <v>2</v>
      </c>
      <c r="EU4" s="7" t="s">
        <v>4</v>
      </c>
      <c r="EV4" s="5" t="s">
        <v>5</v>
      </c>
      <c r="EW4" s="3" t="s">
        <v>6</v>
      </c>
      <c r="EY4" s="2" t="s">
        <v>0</v>
      </c>
      <c r="EZ4" s="2" t="s">
        <v>1</v>
      </c>
      <c r="FA4" s="3" t="s">
        <v>2</v>
      </c>
      <c r="FB4" s="7" t="s">
        <v>4</v>
      </c>
      <c r="FC4" s="5" t="s">
        <v>5</v>
      </c>
      <c r="FD4" s="3" t="s">
        <v>6</v>
      </c>
      <c r="FF4" s="2" t="s">
        <v>0</v>
      </c>
      <c r="FG4" s="2" t="s">
        <v>1</v>
      </c>
      <c r="FH4" s="3" t="s">
        <v>2</v>
      </c>
      <c r="FI4" s="7" t="s">
        <v>4</v>
      </c>
      <c r="FJ4" s="5" t="s">
        <v>5</v>
      </c>
      <c r="FK4" s="3" t="s">
        <v>6</v>
      </c>
      <c r="FM4" s="2" t="s">
        <v>0</v>
      </c>
      <c r="FN4" s="2" t="s">
        <v>1</v>
      </c>
      <c r="FO4" s="3" t="s">
        <v>2</v>
      </c>
      <c r="FP4" s="7" t="s">
        <v>4</v>
      </c>
      <c r="FQ4" s="5" t="s">
        <v>5</v>
      </c>
      <c r="FR4" s="3" t="s">
        <v>6</v>
      </c>
      <c r="FT4" s="2" t="s">
        <v>0</v>
      </c>
      <c r="FU4" s="2" t="s">
        <v>1</v>
      </c>
      <c r="FV4" s="3" t="s">
        <v>2</v>
      </c>
      <c r="FW4" s="7" t="s">
        <v>4</v>
      </c>
      <c r="FX4" s="5" t="s">
        <v>5</v>
      </c>
      <c r="FY4" s="3" t="s">
        <v>6</v>
      </c>
      <c r="GA4" s="2" t="s">
        <v>0</v>
      </c>
      <c r="GB4" s="2" t="s">
        <v>1</v>
      </c>
      <c r="GC4" s="3" t="s">
        <v>2</v>
      </c>
      <c r="GD4" s="7" t="s">
        <v>4</v>
      </c>
      <c r="GE4" s="5" t="s">
        <v>5</v>
      </c>
      <c r="GF4" s="3" t="s">
        <v>6</v>
      </c>
      <c r="GH4" s="2" t="s">
        <v>0</v>
      </c>
      <c r="GI4" s="2" t="s">
        <v>1</v>
      </c>
      <c r="GJ4" s="3" t="s">
        <v>2</v>
      </c>
      <c r="GK4" s="7" t="s">
        <v>4</v>
      </c>
      <c r="GL4" s="5" t="s">
        <v>5</v>
      </c>
      <c r="GM4" s="3" t="s">
        <v>6</v>
      </c>
      <c r="GO4" s="2" t="s">
        <v>0</v>
      </c>
      <c r="GP4" s="2" t="s">
        <v>1</v>
      </c>
      <c r="GQ4" s="3" t="s">
        <v>2</v>
      </c>
      <c r="GR4" s="7" t="s">
        <v>4</v>
      </c>
      <c r="GS4" s="5" t="s">
        <v>5</v>
      </c>
      <c r="GT4" s="3" t="s">
        <v>6</v>
      </c>
      <c r="GV4" s="2" t="s">
        <v>0</v>
      </c>
      <c r="GW4" s="2" t="s">
        <v>1</v>
      </c>
      <c r="GX4" s="3" t="s">
        <v>2</v>
      </c>
      <c r="GY4" s="7" t="s">
        <v>4</v>
      </c>
      <c r="GZ4" s="5" t="s">
        <v>5</v>
      </c>
      <c r="HA4" s="3" t="s">
        <v>6</v>
      </c>
      <c r="HC4" s="2" t="s">
        <v>0</v>
      </c>
      <c r="HD4" s="2" t="s">
        <v>1</v>
      </c>
      <c r="HE4" s="3" t="s">
        <v>2</v>
      </c>
      <c r="HF4" s="7" t="s">
        <v>4</v>
      </c>
      <c r="HG4" s="5" t="s">
        <v>5</v>
      </c>
      <c r="HH4" s="3" t="s">
        <v>6</v>
      </c>
      <c r="HJ4" s="2" t="s">
        <v>0</v>
      </c>
      <c r="HK4" s="2" t="s">
        <v>1</v>
      </c>
      <c r="HL4" s="3" t="s">
        <v>2</v>
      </c>
      <c r="HM4" s="7" t="s">
        <v>4</v>
      </c>
      <c r="HN4" s="5" t="s">
        <v>5</v>
      </c>
      <c r="HO4" s="3" t="s">
        <v>6</v>
      </c>
      <c r="HQ4" s="2" t="s">
        <v>0</v>
      </c>
      <c r="HR4" s="2" t="s">
        <v>1</v>
      </c>
      <c r="HS4" s="3" t="s">
        <v>2</v>
      </c>
      <c r="HT4" s="7" t="s">
        <v>4</v>
      </c>
      <c r="HU4" s="5" t="s">
        <v>5</v>
      </c>
      <c r="HV4" s="3" t="s">
        <v>6</v>
      </c>
    </row>
    <row r="5" spans="1:230" ht="15.75" x14ac:dyDescent="0.25">
      <c r="A5" s="5"/>
      <c r="B5" s="5"/>
      <c r="C5" s="5">
        <v>24.2</v>
      </c>
      <c r="D5" s="8" t="s">
        <v>3</v>
      </c>
      <c r="E5" s="5"/>
      <c r="F5" s="3"/>
      <c r="H5" s="5"/>
      <c r="I5" s="5"/>
      <c r="J5" s="5">
        <v>22.4</v>
      </c>
      <c r="K5" s="8" t="s">
        <v>3</v>
      </c>
      <c r="L5" s="5"/>
      <c r="M5" s="3"/>
      <c r="O5" s="5"/>
      <c r="P5" s="5"/>
      <c r="Q5" s="5">
        <v>24</v>
      </c>
      <c r="R5" s="8" t="s">
        <v>3</v>
      </c>
      <c r="S5" s="5"/>
      <c r="T5" s="3"/>
      <c r="V5" s="5"/>
      <c r="W5" s="5"/>
      <c r="X5" s="5">
        <v>24</v>
      </c>
      <c r="Y5" s="8" t="s">
        <v>3</v>
      </c>
      <c r="Z5" s="5"/>
      <c r="AA5" s="3"/>
      <c r="AC5" s="5"/>
      <c r="AD5" s="5"/>
      <c r="AE5" s="5">
        <v>19.5</v>
      </c>
      <c r="AF5" s="8" t="s">
        <v>3</v>
      </c>
      <c r="AG5" s="5"/>
      <c r="AH5" s="3"/>
      <c r="AJ5" s="5"/>
      <c r="AK5" s="5"/>
      <c r="AL5" s="5">
        <v>29.5</v>
      </c>
      <c r="AM5" s="8" t="s">
        <v>3</v>
      </c>
      <c r="AN5" s="5"/>
      <c r="AO5" s="3"/>
      <c r="AQ5" s="5"/>
      <c r="AR5" s="5"/>
      <c r="AS5" s="5">
        <v>16</v>
      </c>
      <c r="AT5" s="8" t="s">
        <v>3</v>
      </c>
      <c r="AU5" s="5"/>
      <c r="AV5" s="3"/>
      <c r="AX5" s="5"/>
      <c r="AY5" s="5"/>
      <c r="AZ5" s="5">
        <v>16.600000000000001</v>
      </c>
      <c r="BA5" s="8" t="s">
        <v>3</v>
      </c>
      <c r="BB5" s="5"/>
      <c r="BC5" s="3"/>
      <c r="BE5" s="5"/>
      <c r="BF5" s="5"/>
      <c r="BG5" s="5">
        <v>22.9</v>
      </c>
      <c r="BH5" s="8" t="s">
        <v>3</v>
      </c>
      <c r="BI5" s="5"/>
      <c r="BJ5" s="3"/>
      <c r="BL5" s="5"/>
      <c r="BM5" s="5"/>
      <c r="BN5" s="5">
        <v>19.25</v>
      </c>
      <c r="BO5" s="8" t="s">
        <v>3</v>
      </c>
      <c r="BP5" s="5"/>
      <c r="BQ5" s="3"/>
      <c r="BS5" s="5"/>
      <c r="BT5" s="5"/>
      <c r="BU5" s="5">
        <v>28.05</v>
      </c>
      <c r="BV5" s="8" t="s">
        <v>3</v>
      </c>
      <c r="BW5" s="5"/>
      <c r="BX5" s="3"/>
      <c r="BZ5" s="5"/>
      <c r="CA5" s="5"/>
      <c r="CB5" s="5">
        <v>22.1</v>
      </c>
      <c r="CC5" s="8" t="s">
        <v>3</v>
      </c>
      <c r="CD5" s="5"/>
      <c r="CE5" s="3"/>
      <c r="CG5" s="5"/>
      <c r="CH5" s="5"/>
      <c r="CI5" s="43">
        <f>(26.5+27.6)/2</f>
        <v>27.05</v>
      </c>
      <c r="CJ5" s="8" t="s">
        <v>3</v>
      </c>
      <c r="CK5" s="5"/>
      <c r="CL5" s="3"/>
      <c r="CN5" s="5"/>
      <c r="CO5" s="5"/>
      <c r="CP5" s="43">
        <f>(16.3+16.8)/2</f>
        <v>16.55</v>
      </c>
      <c r="CQ5" s="8" t="s">
        <v>3</v>
      </c>
      <c r="CR5" s="5"/>
      <c r="CS5" s="3"/>
      <c r="CU5" s="5"/>
      <c r="CV5" s="5"/>
      <c r="CW5" s="43">
        <f>(18.8+17.7)/2</f>
        <v>18.25</v>
      </c>
      <c r="CX5" s="8" t="s">
        <v>3</v>
      </c>
      <c r="CY5" s="5"/>
      <c r="CZ5" s="3"/>
      <c r="DB5" s="5"/>
      <c r="DC5" s="5"/>
      <c r="DD5" s="43">
        <f>(14.6+15.1)/2</f>
        <v>14.85</v>
      </c>
      <c r="DE5" s="8" t="s">
        <v>3</v>
      </c>
      <c r="DF5" s="5"/>
      <c r="DG5" s="3"/>
      <c r="DI5" s="5"/>
      <c r="DJ5" s="5"/>
      <c r="DK5" s="43">
        <f>(18.9+19.9)/2</f>
        <v>19.399999999999999</v>
      </c>
      <c r="DL5" s="8" t="s">
        <v>3</v>
      </c>
      <c r="DM5" s="5"/>
      <c r="DN5" s="3"/>
      <c r="DP5" s="5"/>
      <c r="DQ5" s="5"/>
      <c r="DR5" s="43">
        <f>(19.4+19.1)/2</f>
        <v>19.25</v>
      </c>
      <c r="DS5" s="8" t="s">
        <v>3</v>
      </c>
      <c r="DT5" s="5"/>
      <c r="DU5" s="3"/>
      <c r="DW5" s="5"/>
      <c r="DX5" s="5"/>
      <c r="DY5" s="43">
        <f>(19.5+21.5)/2</f>
        <v>20.5</v>
      </c>
      <c r="DZ5" s="8" t="s">
        <v>3</v>
      </c>
      <c r="EA5" s="5"/>
      <c r="EB5" s="3"/>
      <c r="ED5" s="5"/>
      <c r="EE5" s="5"/>
      <c r="EF5" s="43">
        <f>(27.4+28.5)/2</f>
        <v>27.95</v>
      </c>
      <c r="EG5" s="8" t="s">
        <v>3</v>
      </c>
      <c r="EH5" s="5"/>
      <c r="EI5" s="3"/>
      <c r="EK5" s="5"/>
      <c r="EL5" s="5"/>
      <c r="EM5" s="43">
        <f>(22.5+23.1)/2</f>
        <v>22.8</v>
      </c>
      <c r="EN5" s="8" t="s">
        <v>3</v>
      </c>
      <c r="EO5" s="5"/>
      <c r="EP5" s="3"/>
      <c r="ER5" s="5"/>
      <c r="ES5" s="5"/>
      <c r="ET5" s="43">
        <f>(29.2+29.3)/2</f>
        <v>29.25</v>
      </c>
      <c r="EU5" s="8" t="s">
        <v>3</v>
      </c>
      <c r="EV5" s="5"/>
      <c r="EW5" s="3"/>
      <c r="EY5" s="5"/>
      <c r="EZ5" s="5"/>
      <c r="FA5" s="43">
        <f>(19.7+18.7+18.7+18.3)/4</f>
        <v>18.849999999999998</v>
      </c>
      <c r="FB5" s="8" t="s">
        <v>3</v>
      </c>
      <c r="FC5" s="5"/>
      <c r="FD5" s="3"/>
      <c r="FF5" s="5"/>
      <c r="FG5" s="5"/>
      <c r="FH5" s="43">
        <f>(17.7+19)/2</f>
        <v>18.350000000000001</v>
      </c>
      <c r="FI5" s="8" t="s">
        <v>3</v>
      </c>
      <c r="FJ5" s="5"/>
      <c r="FK5" s="3"/>
      <c r="FM5" s="5"/>
      <c r="FN5" s="5"/>
      <c r="FO5" s="43">
        <f>(16.3+16.7+16.7+16.3)/4</f>
        <v>16.5</v>
      </c>
      <c r="FP5" s="8" t="s">
        <v>3</v>
      </c>
      <c r="FQ5" s="5"/>
      <c r="FR5" s="3"/>
      <c r="FT5" s="5"/>
      <c r="FU5" s="5"/>
      <c r="FV5" s="43">
        <f>(14.1+14.8)/2</f>
        <v>14.45</v>
      </c>
      <c r="FW5" s="8" t="s">
        <v>3</v>
      </c>
      <c r="FX5" s="5"/>
      <c r="FY5" s="3"/>
      <c r="GA5" s="5"/>
      <c r="GB5" s="5"/>
      <c r="GC5" s="43">
        <f>(16.2+16.3+16.5+17.8)/4</f>
        <v>16.7</v>
      </c>
      <c r="GD5" s="8" t="s">
        <v>3</v>
      </c>
      <c r="GE5" s="5"/>
      <c r="GF5" s="3"/>
      <c r="GH5" s="5"/>
      <c r="GI5" s="5"/>
      <c r="GJ5" s="43">
        <f>(16.1+16.4+15.8+16.1)/4</f>
        <v>16.100000000000001</v>
      </c>
      <c r="GK5" s="8" t="s">
        <v>3</v>
      </c>
      <c r="GL5" s="5"/>
      <c r="GM5" s="3"/>
      <c r="GO5" s="5"/>
      <c r="GP5" s="5"/>
      <c r="GQ5" s="43">
        <f>(14.8+14.6+15+15.4)/4</f>
        <v>14.95</v>
      </c>
      <c r="GR5" s="8" t="s">
        <v>3</v>
      </c>
      <c r="GS5" s="5"/>
      <c r="GT5" s="3"/>
      <c r="GV5" s="5"/>
      <c r="GW5" s="5"/>
      <c r="GX5" s="43">
        <f>(19.9+20.3+21.1+19.6)/4</f>
        <v>20.225000000000001</v>
      </c>
      <c r="GY5" s="8" t="s">
        <v>3</v>
      </c>
      <c r="GZ5" s="5"/>
      <c r="HA5" s="3"/>
      <c r="HC5" s="5"/>
      <c r="HD5" s="5"/>
      <c r="HE5" s="43">
        <f>(25.5+26.1+25.7+26.6)/4</f>
        <v>25.975000000000001</v>
      </c>
      <c r="HF5" s="8" t="s">
        <v>3</v>
      </c>
      <c r="HG5" s="5"/>
      <c r="HH5" s="3"/>
      <c r="HJ5" s="5"/>
      <c r="HK5" s="5"/>
      <c r="HL5" s="43">
        <f>(14.8+14+15.9+16)/4</f>
        <v>15.175000000000001</v>
      </c>
      <c r="HM5" s="8" t="s">
        <v>3</v>
      </c>
      <c r="HN5" s="5"/>
      <c r="HO5" s="3"/>
      <c r="HQ5" s="5"/>
      <c r="HR5" s="5"/>
      <c r="HS5" s="43">
        <f>(23+25)/2</f>
        <v>24</v>
      </c>
      <c r="HT5" s="8" t="s">
        <v>3</v>
      </c>
      <c r="HU5" s="5"/>
      <c r="HV5" s="3"/>
    </row>
    <row r="6" spans="1:230" ht="15.75" x14ac:dyDescent="0.25">
      <c r="A6" s="5">
        <v>1</v>
      </c>
      <c r="B6" s="5">
        <v>7.4069999999999997E-2</v>
      </c>
      <c r="C6" s="5">
        <f>1.00000381*(1+0.00000084*(24.2-19.8))</f>
        <v>1.0000075060140818</v>
      </c>
      <c r="D6" s="8">
        <f t="shared" ref="D6:D37" si="0">B6*C6</f>
        <v>7.407055597046304E-2</v>
      </c>
      <c r="E6" s="5">
        <v>10</v>
      </c>
      <c r="F6" s="5">
        <v>1.0000000000000001E-5</v>
      </c>
      <c r="H6" s="5">
        <v>1</v>
      </c>
      <c r="I6" s="9">
        <v>7.2419999999999998E-2</v>
      </c>
      <c r="J6" s="5">
        <f>1.00000381*(1+0.00000084*($J$5-19.8))</f>
        <v>1.000005994008321</v>
      </c>
      <c r="K6" s="21">
        <f t="shared" ref="K6:K20" si="1">I6*J6</f>
        <v>7.2420434086082605E-2</v>
      </c>
      <c r="L6" s="5">
        <v>10</v>
      </c>
      <c r="M6" s="5">
        <v>1.0000000000000001E-5</v>
      </c>
      <c r="O6" s="5">
        <v>1</v>
      </c>
      <c r="P6" s="9">
        <v>7.1389999999999995E-2</v>
      </c>
      <c r="Q6" s="5">
        <f>1.00000381*(1+0.00000084*($Q$5-19.8))</f>
        <v>1.0000073380134415</v>
      </c>
      <c r="R6" s="21">
        <f>P6*Q6</f>
        <v>7.1390523860779584E-2</v>
      </c>
      <c r="S6" s="5">
        <v>10</v>
      </c>
      <c r="T6" s="5"/>
      <c r="V6" s="5">
        <v>1</v>
      </c>
      <c r="W6" s="9">
        <v>6.8180000000000004E-2</v>
      </c>
      <c r="X6" s="5">
        <f>1.00000381*(1+0.00000084*($X$5-19.8))</f>
        <v>1.0000073380134415</v>
      </c>
      <c r="Y6" s="21">
        <f>W6*X6</f>
        <v>6.8180500305756453E-2</v>
      </c>
      <c r="Z6" s="5">
        <v>10</v>
      </c>
      <c r="AA6" s="5">
        <v>0</v>
      </c>
      <c r="AC6" s="5">
        <v>1</v>
      </c>
      <c r="AD6" s="9">
        <v>7.109E-2</v>
      </c>
      <c r="AE6" s="5">
        <f>1.00000381*(1+0.00000084*($AE$5-19.8))</f>
        <v>1.0000035579990398</v>
      </c>
      <c r="AF6" s="21">
        <f>AD6*AE6</f>
        <v>7.1090252938151743E-2</v>
      </c>
      <c r="AG6" s="5">
        <v>10</v>
      </c>
      <c r="AH6" s="5"/>
      <c r="AI6" s="5"/>
      <c r="AJ6" s="5">
        <v>1</v>
      </c>
      <c r="AK6" s="9">
        <v>7.1790000000000007E-2</v>
      </c>
      <c r="AL6" s="5">
        <f>1.00000381*(1+0.00000084*($AL$5-19.8))</f>
        <v>1.0000119580310438</v>
      </c>
      <c r="AM6" s="21">
        <f>AK6*AL6</f>
        <v>7.1790858467048649E-2</v>
      </c>
      <c r="AN6" s="5">
        <v>10</v>
      </c>
      <c r="AO6" s="5"/>
      <c r="AQ6" s="5">
        <v>1</v>
      </c>
      <c r="AR6" s="9">
        <v>7.3370000000000005E-2</v>
      </c>
      <c r="AS6" s="34">
        <f>1.00000381*(1+0.00000084*($AS$5-19.8))</f>
        <v>1.0000006179878385</v>
      </c>
      <c r="AT6" s="21">
        <f>AR6*AS6</f>
        <v>7.3370045341767706E-2</v>
      </c>
      <c r="AU6" s="5">
        <v>10</v>
      </c>
      <c r="AV6" s="5">
        <v>1.0000000000000001E-5</v>
      </c>
      <c r="AX6" s="5">
        <v>1</v>
      </c>
      <c r="AY6" s="9">
        <v>7.2510000000000005E-2</v>
      </c>
      <c r="AZ6" s="34">
        <f>1.00000381*(1+0.00000084*($AZ$5-19.8))</f>
        <v>1.0000011219897587</v>
      </c>
      <c r="BA6" s="21">
        <f>AY6*AZ6</f>
        <v>7.2510081355477402E-2</v>
      </c>
      <c r="BB6" s="5">
        <v>10</v>
      </c>
      <c r="BC6" s="5">
        <v>1.0000000000000001E-5</v>
      </c>
      <c r="BE6" s="5">
        <v>1</v>
      </c>
      <c r="BF6" s="9">
        <v>7.4380000000000002E-2</v>
      </c>
      <c r="BG6" s="34">
        <f>1.00000381*(1+0.00000084*($BG$5-19.8))</f>
        <v>1.0000064140099212</v>
      </c>
      <c r="BH6" s="21">
        <f>BF6*BG6</f>
        <v>7.4380477074057941E-2</v>
      </c>
      <c r="BI6" s="5">
        <v>10</v>
      </c>
      <c r="BJ6" s="5">
        <v>1.0000000000000001E-5</v>
      </c>
      <c r="BL6" s="5">
        <v>1</v>
      </c>
      <c r="BM6" s="3">
        <v>7.1150000000000005E-2</v>
      </c>
      <c r="BN6" s="34">
        <f>1.00000381*(1+0.00000084*($BN$5-19.8))</f>
        <v>1.0000033479982398</v>
      </c>
      <c r="BO6" s="21">
        <f>BM6*BN6</f>
        <v>7.1150238210074768E-2</v>
      </c>
      <c r="BP6" s="5">
        <v>10</v>
      </c>
      <c r="BQ6" s="3">
        <v>1.0000000000000001E-5</v>
      </c>
      <c r="BS6" s="5">
        <v>1</v>
      </c>
      <c r="BT6" s="3">
        <v>7.1609999999999993E-2</v>
      </c>
      <c r="BU6" s="34">
        <f>1.00000381*(1+0.00000084*($BU$5-19.8))</f>
        <v>1.0000107400264033</v>
      </c>
      <c r="BV6" s="21">
        <f>BT6*BU6</f>
        <v>7.1610769093290741E-2</v>
      </c>
      <c r="BW6" s="5">
        <v>10</v>
      </c>
      <c r="BX6" s="3">
        <v>2.0000000000000002E-5</v>
      </c>
      <c r="BZ6" s="5">
        <v>1</v>
      </c>
      <c r="CA6" s="41">
        <v>7.0529999999999995E-2</v>
      </c>
      <c r="CB6" s="34">
        <f>1.00000381*(1+0.00000084*($CB$5-19.8))</f>
        <v>1.0000057420073609</v>
      </c>
      <c r="CC6" s="21">
        <f>CA6*CB6</f>
        <v>7.053040498377916E-2</v>
      </c>
      <c r="CD6" s="5">
        <v>10</v>
      </c>
      <c r="CE6" s="41">
        <v>0</v>
      </c>
      <c r="CG6" s="5">
        <v>1</v>
      </c>
      <c r="CH6" s="41">
        <v>7.0419999999999996E-2</v>
      </c>
      <c r="CI6" s="34">
        <f>1.00000381*(1+0.00000084*($CI$5-19.8))</f>
        <v>1.000009900023203</v>
      </c>
      <c r="CJ6" s="21">
        <f>CH6*CI6</f>
        <v>7.0420697159633949E-2</v>
      </c>
      <c r="CK6" s="5">
        <v>10</v>
      </c>
      <c r="CL6" s="3">
        <v>1.0000000000000001E-5</v>
      </c>
      <c r="CN6" s="5">
        <v>1</v>
      </c>
      <c r="CO6" s="41">
        <v>7.0580000000000004E-2</v>
      </c>
      <c r="CP6" s="34">
        <f>1.00000381*(1+0.00000084*($CP$5-19.8))</f>
        <v>1.0000010799895986</v>
      </c>
      <c r="CQ6" s="21">
        <f>CO6*CP6</f>
        <v>7.058007622566588E-2</v>
      </c>
      <c r="CR6" s="5">
        <v>10</v>
      </c>
      <c r="CS6" s="3">
        <v>1.0000000000000001E-5</v>
      </c>
      <c r="CU6" s="5">
        <v>1</v>
      </c>
      <c r="CV6" s="41">
        <v>7.1779999999999997E-2</v>
      </c>
      <c r="CW6" s="34">
        <f>1.00000381*(1+0.00000084*($CW$5-19.8))</f>
        <v>1.0000025079950392</v>
      </c>
      <c r="CX6" s="21">
        <f>CV6*CW6</f>
        <v>7.1780180023883908E-2</v>
      </c>
      <c r="CY6" s="5">
        <v>10</v>
      </c>
      <c r="CZ6" s="3">
        <v>1.0000000000000001E-5</v>
      </c>
      <c r="DB6" s="5">
        <v>1</v>
      </c>
      <c r="DC6" s="41">
        <v>7.3450000000000001E-2</v>
      </c>
      <c r="DD6" s="34">
        <f>1.00000381*(1+0.00000084*($DD$5-19.8))</f>
        <v>0.99999965198415797</v>
      </c>
      <c r="DE6" s="21">
        <f>DC6*DD6</f>
        <v>7.3449974438236407E-2</v>
      </c>
      <c r="DF6" s="5">
        <v>10</v>
      </c>
      <c r="DG6" s="3">
        <v>0</v>
      </c>
      <c r="DI6" s="5">
        <v>1</v>
      </c>
      <c r="DJ6" s="41">
        <v>7.2639999999999996E-2</v>
      </c>
      <c r="DK6" s="34">
        <f>1.00000381*(1+0.00000084*($DK$5-19.8))</f>
        <v>1.0000034739987198</v>
      </c>
      <c r="DL6" s="21">
        <f>DJ6*DK6</f>
        <v>7.2640252351267004E-2</v>
      </c>
      <c r="DM6" s="5">
        <v>10</v>
      </c>
      <c r="DN6" s="3">
        <v>0</v>
      </c>
      <c r="DP6" s="5">
        <v>1</v>
      </c>
      <c r="DQ6" s="41">
        <v>7.17E-2</v>
      </c>
      <c r="DR6" s="34">
        <f>1.00000381*(1+0.00000084*($DR$5-19.8))</f>
        <v>1.0000033479982398</v>
      </c>
      <c r="DS6" s="21">
        <f>DQ6*DR6</f>
        <v>7.1700240051473796E-2</v>
      </c>
      <c r="DT6" s="5">
        <v>10</v>
      </c>
      <c r="DU6" s="3">
        <v>1.0000000000000001E-5</v>
      </c>
      <c r="DW6" s="5">
        <v>1</v>
      </c>
      <c r="DX6" s="41">
        <v>7.2779999999999997E-2</v>
      </c>
      <c r="DY6" s="34">
        <f>1.00000381*(1+0.00000084*($DY$5-19.8))</f>
        <v>1.0000043980022402</v>
      </c>
      <c r="DZ6" s="21">
        <f>DX6*DY6</f>
        <v>7.278032008660304E-2</v>
      </c>
      <c r="EA6" s="5">
        <v>10</v>
      </c>
      <c r="EB6" s="3">
        <v>2.0000000000000002E-5</v>
      </c>
      <c r="ED6" s="5">
        <v>1</v>
      </c>
      <c r="EE6" s="41">
        <v>7.3160000000000003E-2</v>
      </c>
      <c r="EF6" s="34">
        <f>1.00000381*(1+0.00000084*($EF$5-19.8))</f>
        <v>1.0000106560260833</v>
      </c>
      <c r="EG6" s="21">
        <f>EE6*EF6</f>
        <v>7.3160779594868261E-2</v>
      </c>
      <c r="EH6" s="5">
        <v>10</v>
      </c>
      <c r="EI6" s="3">
        <v>1.0000000000000001E-5</v>
      </c>
      <c r="EK6" s="5">
        <v>1</v>
      </c>
      <c r="EL6" s="41">
        <v>7.2550000000000003E-2</v>
      </c>
      <c r="EM6" s="34">
        <f>1.00000381*(1+0.00000084*($EM$5-19.8))</f>
        <v>1.0000063300096012</v>
      </c>
      <c r="EN6" s="21">
        <f>EL6*EM6</f>
        <v>7.2550459242196566E-2</v>
      </c>
      <c r="EO6" s="5">
        <v>10</v>
      </c>
      <c r="EP6" s="3">
        <v>0</v>
      </c>
      <c r="ER6" s="5">
        <v>1</v>
      </c>
      <c r="ES6" s="41">
        <v>7.2230000000000003E-2</v>
      </c>
      <c r="ET6" s="34">
        <f>1.00000381*(1+0.00000084*($ET$5-19.8))</f>
        <v>1.0000117480302437</v>
      </c>
      <c r="EU6" s="21">
        <f>ES6*ET6</f>
        <v>7.2230848560224506E-2</v>
      </c>
      <c r="EV6" s="5">
        <v>10</v>
      </c>
      <c r="EW6" s="3">
        <v>0</v>
      </c>
      <c r="EY6" s="5">
        <v>1</v>
      </c>
      <c r="EZ6" s="41">
        <v>7.1679999999999994E-2</v>
      </c>
      <c r="FA6" s="34">
        <f>1.00000381*(1+0.00000084*($FA$5-19.8))</f>
        <v>1.0000030119969596</v>
      </c>
      <c r="FB6" s="21">
        <f>EZ6*FA6</f>
        <v>7.1680215899942057E-2</v>
      </c>
      <c r="FC6" s="5">
        <v>10</v>
      </c>
      <c r="FD6" s="3">
        <v>0</v>
      </c>
      <c r="FF6" s="5">
        <v>1</v>
      </c>
      <c r="FG6" s="41">
        <v>7.238E-2</v>
      </c>
      <c r="FH6" s="34">
        <f>1.00000381*(1+0.00000084*($FH$5-19.8))</f>
        <v>1.0000025919953595</v>
      </c>
      <c r="FI6" s="21">
        <f>FG6*FH6</f>
        <v>7.2380187608624122E-2</v>
      </c>
      <c r="FJ6" s="5">
        <v>10</v>
      </c>
      <c r="FK6" s="3">
        <v>1.0000000000000001E-5</v>
      </c>
      <c r="FM6" s="5">
        <v>1</v>
      </c>
      <c r="FN6" s="41">
        <v>7.1230000000000002E-2</v>
      </c>
      <c r="FO6" s="34">
        <f>1.00000381*(1+0.00000084*($FO$5-19.8))</f>
        <v>1.0000010379894386</v>
      </c>
      <c r="FP6" s="21">
        <f>FN6*FO6</f>
        <v>7.1230073935987709E-2</v>
      </c>
      <c r="FQ6" s="5">
        <v>10</v>
      </c>
      <c r="FR6" s="3">
        <v>0</v>
      </c>
      <c r="FS6" s="15"/>
      <c r="FT6" s="5">
        <v>1</v>
      </c>
      <c r="FU6" s="41">
        <v>7.2720000000000007E-2</v>
      </c>
      <c r="FV6" s="34">
        <f>1.00000381*(1+0.00000084*($FV$5-19.8))</f>
        <v>0.99999931598287772</v>
      </c>
      <c r="FW6" s="21">
        <f>FU6*FV6</f>
        <v>7.2719950258274879E-2</v>
      </c>
      <c r="FX6" s="5">
        <v>10</v>
      </c>
      <c r="FY6" s="3">
        <v>1.0000000000000001E-5</v>
      </c>
      <c r="GA6" s="5">
        <v>1</v>
      </c>
      <c r="GB6" s="41">
        <v>7.2900000000000006E-2</v>
      </c>
      <c r="GC6" s="34">
        <f>1.00000381*(1+0.00000084*($GC$5-19.8))</f>
        <v>1.0000012059900787</v>
      </c>
      <c r="GD6" s="21">
        <f>GB6*GC6</f>
        <v>7.2900087916676737E-2</v>
      </c>
      <c r="GE6" s="5">
        <v>10</v>
      </c>
      <c r="GF6" s="3">
        <v>0</v>
      </c>
      <c r="GH6" s="5">
        <v>1</v>
      </c>
      <c r="GI6" s="41">
        <v>7.2770000000000001E-2</v>
      </c>
      <c r="GJ6" s="34">
        <f>1.00000381*(1+0.00000084*($GJ$5-19.8))</f>
        <v>1.0000007019881585</v>
      </c>
      <c r="GK6" s="21">
        <f>GI6*GJ6</f>
        <v>7.2770051083678289E-2</v>
      </c>
      <c r="GL6" s="5">
        <v>10</v>
      </c>
      <c r="GM6" s="3">
        <v>1.0000000000000001E-5</v>
      </c>
      <c r="GO6" s="5">
        <v>1</v>
      </c>
      <c r="GP6" s="41">
        <v>7.1980000000000002E-2</v>
      </c>
      <c r="GQ6" s="34">
        <f>1.00000381*(1+0.00000084*($GQ$5-19.8))</f>
        <v>0.999999735984478</v>
      </c>
      <c r="GR6" s="21">
        <f>GP6*GQ6</f>
        <v>7.1979980996162735E-2</v>
      </c>
      <c r="GS6" s="5">
        <v>10</v>
      </c>
      <c r="GT6" s="3">
        <v>1.0000000000000001E-5</v>
      </c>
      <c r="GV6" s="5">
        <v>1</v>
      </c>
      <c r="GW6" s="41">
        <v>7.2419999999999998E-2</v>
      </c>
      <c r="GX6" s="34">
        <f>1.00000381*(1+0.00000084*($GX$5-19.8))</f>
        <v>1.0000041670013602</v>
      </c>
      <c r="GY6" s="21">
        <f>GW6*GX6</f>
        <v>7.2420301774238499E-2</v>
      </c>
      <c r="GZ6" s="5">
        <v>10</v>
      </c>
      <c r="HA6" s="3">
        <v>1.0000000000000001E-5</v>
      </c>
      <c r="HC6" s="5">
        <v>1</v>
      </c>
      <c r="HD6" s="41">
        <v>7.0940000000000003E-2</v>
      </c>
      <c r="HE6" s="34">
        <f>1.00000381*(1+0.00000084*($HE$5-19.8))</f>
        <v>1.0000089970197623</v>
      </c>
      <c r="HF6" s="21">
        <f>HD6*HE6</f>
        <v>7.0940638248581947E-2</v>
      </c>
      <c r="HG6" s="5">
        <v>10</v>
      </c>
      <c r="HH6" s="3">
        <v>1.0000000000000001E-5</v>
      </c>
      <c r="HJ6" s="5">
        <v>1</v>
      </c>
      <c r="HK6" s="41">
        <v>7.1370000000000003E-2</v>
      </c>
      <c r="HL6" s="34">
        <f>1.00000381*(1+0.00000084*($HL$5-19.8))</f>
        <v>0.99999992498519807</v>
      </c>
      <c r="HM6" s="21">
        <f>HK6*HL6</f>
        <v>7.1369994646193591E-2</v>
      </c>
      <c r="HN6" s="5">
        <v>10</v>
      </c>
      <c r="HO6" s="3">
        <v>1.0000000000000001E-5</v>
      </c>
      <c r="HQ6" s="5">
        <v>1</v>
      </c>
      <c r="HR6" s="41">
        <v>7.288E-2</v>
      </c>
      <c r="HS6" s="34">
        <f>1.00000381*(1+0.00000084*($HS$5-19.8))</f>
        <v>1.0000073380134415</v>
      </c>
      <c r="HT6" s="21">
        <f>HR6*HS6</f>
        <v>7.2880534794419624E-2</v>
      </c>
      <c r="HU6" s="5">
        <v>10</v>
      </c>
      <c r="HV6" s="3">
        <v>1.0000000000000001E-5</v>
      </c>
    </row>
    <row r="7" spans="1:230" ht="15.75" x14ac:dyDescent="0.25">
      <c r="A7" s="5">
        <v>2</v>
      </c>
      <c r="B7" s="5">
        <v>0.16489000000000001</v>
      </c>
      <c r="C7" s="5">
        <f t="shared" ref="C7:C19" si="2">1.00000381*(1+0.00000084*(24.2-19.8))</f>
        <v>1.0000075060140818</v>
      </c>
      <c r="D7" s="8">
        <f t="shared" si="0"/>
        <v>0.16489123766666197</v>
      </c>
      <c r="E7" s="5">
        <v>10</v>
      </c>
      <c r="F7" s="5">
        <v>2.0000000000000002E-5</v>
      </c>
      <c r="H7" s="5">
        <v>2</v>
      </c>
      <c r="I7" s="9">
        <v>0.16331000000000001</v>
      </c>
      <c r="J7" s="5">
        <f t="shared" ref="J7:J20" si="3">1.00000381*(1+0.00000084*($J$5-19.8))</f>
        <v>1.000005994008321</v>
      </c>
      <c r="K7" s="21">
        <f t="shared" si="1"/>
        <v>0.16331097888149892</v>
      </c>
      <c r="L7" s="5">
        <v>10</v>
      </c>
      <c r="M7" s="5">
        <v>1.0000000000000001E-5</v>
      </c>
      <c r="O7" s="5">
        <v>2</v>
      </c>
      <c r="P7" s="9">
        <v>0.16224</v>
      </c>
      <c r="Q7" s="5">
        <f t="shared" ref="Q7:Q20" si="4">1.00000381*(1+0.00000084*($Q$5-19.8))</f>
        <v>1.0000073380134415</v>
      </c>
      <c r="R7" s="21">
        <f t="shared" ref="R7:R9" si="5">P7*Q7</f>
        <v>0.16224119051930075</v>
      </c>
      <c r="S7" s="5">
        <v>10</v>
      </c>
      <c r="T7" s="5"/>
      <c r="V7" s="5">
        <v>2</v>
      </c>
      <c r="W7" s="9">
        <v>0.15909000000000001</v>
      </c>
      <c r="X7" s="5">
        <f t="shared" ref="X7:X20" si="6">1.00000381*(1+0.00000084*($X$5-19.8))</f>
        <v>1.0000073380134415</v>
      </c>
      <c r="Y7" s="21">
        <f t="shared" ref="Y7:Y9" si="7">W7*X7</f>
        <v>0.15909116740455842</v>
      </c>
      <c r="Z7" s="5">
        <v>10</v>
      </c>
      <c r="AA7" s="5">
        <v>0</v>
      </c>
      <c r="AC7" s="5">
        <v>2</v>
      </c>
      <c r="AD7" s="9">
        <v>0.16189999999999999</v>
      </c>
      <c r="AE7" s="5">
        <f t="shared" ref="AE7:AE20" si="8">1.00000381*(1+0.00000084*($AE$5-19.8))</f>
        <v>1.0000035579990398</v>
      </c>
      <c r="AF7" s="21">
        <f t="shared" ref="AF7:AF9" si="9">AD7*AE7</f>
        <v>0.16190057604004454</v>
      </c>
      <c r="AG7" s="5">
        <v>10</v>
      </c>
      <c r="AH7" s="5"/>
      <c r="AJ7" s="5">
        <v>2</v>
      </c>
      <c r="AK7" s="9">
        <v>0.16258</v>
      </c>
      <c r="AL7" s="5">
        <f t="shared" ref="AL7:AL20" si="10">1.00000381*(1+0.00000084*($AL$5-19.8))</f>
        <v>1.0000119580310438</v>
      </c>
      <c r="AM7" s="21">
        <f t="shared" ref="AM7:AM9" si="11">AK7*AL7</f>
        <v>0.16258194413668711</v>
      </c>
      <c r="AN7" s="5">
        <v>10</v>
      </c>
      <c r="AO7" s="5"/>
      <c r="AQ7" s="5">
        <v>2</v>
      </c>
      <c r="AR7" s="9">
        <v>0.16419</v>
      </c>
      <c r="AS7" s="34">
        <f t="shared" ref="AS7:AS20" si="12">1.00000381*(1+0.00000084*($AS$5-19.8))</f>
        <v>1.0000006179878385</v>
      </c>
      <c r="AT7" s="21">
        <f t="shared" ref="AT7:AT9" si="13">AR7*AS7</f>
        <v>0.16419010146742319</v>
      </c>
      <c r="AU7" s="5">
        <v>10</v>
      </c>
      <c r="AV7" s="5">
        <v>0</v>
      </c>
      <c r="AX7" s="5">
        <v>2</v>
      </c>
      <c r="AY7" s="9">
        <v>0.16339000000000001</v>
      </c>
      <c r="AZ7" s="34">
        <f t="shared" ref="AZ7:AZ20" si="14">1.00000381*(1+0.00000084*($AZ$5-19.8))</f>
        <v>1.0000011219897587</v>
      </c>
      <c r="BA7" s="21">
        <f t="shared" ref="BA7:BA9" si="15">AY7*AZ7</f>
        <v>0.16339018332190666</v>
      </c>
      <c r="BB7" s="5">
        <v>10</v>
      </c>
      <c r="BC7" s="5">
        <v>1.0000000000000001E-5</v>
      </c>
      <c r="BE7" s="5">
        <v>2</v>
      </c>
      <c r="BF7" s="9">
        <v>0.16525999999999999</v>
      </c>
      <c r="BG7" s="34">
        <f t="shared" ref="BG7:BG20" si="16">1.00000381*(1+0.00000084*($BG$5-19.8))</f>
        <v>1.0000064140099212</v>
      </c>
      <c r="BH7" s="21">
        <f t="shared" ref="BH7:BH9" si="17">BF7*BG7</f>
        <v>0.16526105997927956</v>
      </c>
      <c r="BI7" s="5">
        <v>10</v>
      </c>
      <c r="BJ7" s="5">
        <v>1.0000000000000001E-5</v>
      </c>
      <c r="BL7" s="5">
        <v>2</v>
      </c>
      <c r="BM7" s="3">
        <v>0.16206000000000001</v>
      </c>
      <c r="BN7" s="34">
        <f t="shared" ref="BN7:BN20" si="18">1.00000381*(1+0.00000084*($BN$5-19.8))</f>
        <v>1.0000033479982398</v>
      </c>
      <c r="BO7" s="21">
        <f t="shared" ref="BO7:BO20" si="19">BM7*BN7</f>
        <v>0.16206054257659475</v>
      </c>
      <c r="BP7" s="5">
        <v>10</v>
      </c>
      <c r="BQ7" s="3">
        <v>1.0000000000000001E-5</v>
      </c>
      <c r="BS7" s="5">
        <v>2</v>
      </c>
      <c r="BT7" s="3">
        <v>0.16234000000000001</v>
      </c>
      <c r="BU7" s="34">
        <f>1.00000381*(1+0.00000084*($BU$5-19.8))</f>
        <v>1.0000107400264033</v>
      </c>
      <c r="BV7" s="21">
        <f t="shared" ref="BV7:BV20" si="20">BT7*BU7</f>
        <v>0.16234174353588632</v>
      </c>
      <c r="BW7" s="5">
        <v>10</v>
      </c>
      <c r="BX7" s="3">
        <v>1.0000000000000001E-5</v>
      </c>
      <c r="BZ7" s="5">
        <v>2</v>
      </c>
      <c r="CA7" s="41">
        <v>0.16123999999999999</v>
      </c>
      <c r="CB7" s="34">
        <f t="shared" ref="CB7:CB19" si="21">1.00000381*(1+0.00000084*($CB$5-19.8))</f>
        <v>1.0000057420073609</v>
      </c>
      <c r="CC7" s="21">
        <f t="shared" ref="CC7:CC20" si="22">CA7*CB7</f>
        <v>0.16124092584126687</v>
      </c>
      <c r="CD7" s="5">
        <v>10</v>
      </c>
      <c r="CE7" s="41">
        <v>0</v>
      </c>
      <c r="CG7" s="5">
        <v>2</v>
      </c>
      <c r="CH7" s="41">
        <v>0.16119</v>
      </c>
      <c r="CI7" s="34">
        <f t="shared" ref="CI7:CI20" si="23">1.00000381*(1+0.00000084*($CI$5-19.8))</f>
        <v>1.000009900023203</v>
      </c>
      <c r="CJ7" s="21">
        <f t="shared" ref="CJ7:CJ20" si="24">CH7*CI7</f>
        <v>0.1611915957847401</v>
      </c>
      <c r="CK7" s="5">
        <v>10</v>
      </c>
      <c r="CL7" s="3">
        <v>1.0000000000000001E-5</v>
      </c>
      <c r="CN7" s="5">
        <v>2</v>
      </c>
      <c r="CO7" s="41">
        <v>0.16112000000000001</v>
      </c>
      <c r="CP7" s="34">
        <f t="shared" ref="CP7:CP20" si="25">1.00000381*(1+0.00000084*($CP$5-19.8))</f>
        <v>1.0000010799895986</v>
      </c>
      <c r="CQ7" s="21">
        <f t="shared" ref="CQ7:CQ20" si="26">CO7*CP7</f>
        <v>0.16112017400792414</v>
      </c>
      <c r="CR7" s="5">
        <v>10</v>
      </c>
      <c r="CS7" s="3">
        <v>1.0000000000000001E-5</v>
      </c>
      <c r="CU7" s="5">
        <v>2</v>
      </c>
      <c r="CV7" s="41">
        <v>0.16272</v>
      </c>
      <c r="CW7" s="34">
        <f t="shared" ref="CW7:CW20" si="27">1.00000381*(1+0.00000084*($CW$5-19.8))</f>
        <v>1.0000025079950392</v>
      </c>
      <c r="CX7" s="21">
        <f t="shared" ref="CX7:CX20" si="28">CV7*CW7</f>
        <v>0.16272040810095278</v>
      </c>
      <c r="CY7" s="5">
        <v>10</v>
      </c>
      <c r="CZ7" s="3">
        <v>1.0000000000000001E-5</v>
      </c>
      <c r="DB7" s="5">
        <v>2</v>
      </c>
      <c r="DC7" s="41">
        <v>0.16419</v>
      </c>
      <c r="DD7" s="34">
        <f t="shared" ref="DD7:DD20" si="29">1.00000381*(1+0.00000084*($DD$5-19.8))</f>
        <v>0.99999965198415797</v>
      </c>
      <c r="DE7" s="21">
        <f t="shared" ref="DE7:DE20" si="30">DC7*DD7</f>
        <v>0.1641899428592789</v>
      </c>
      <c r="DF7" s="5">
        <v>10</v>
      </c>
      <c r="DG7" s="3">
        <v>1.0000000000000001E-5</v>
      </c>
      <c r="DI7" s="5">
        <v>2</v>
      </c>
      <c r="DJ7" s="41">
        <v>0.16355</v>
      </c>
      <c r="DK7" s="34">
        <f t="shared" ref="DK7:DK20" si="31">1.00000381*(1+0.00000084*($DK$5-19.8))</f>
        <v>1.0000034739987198</v>
      </c>
      <c r="DL7" s="21">
        <f t="shared" ref="DL7:DL20" si="32">DJ7*DK7</f>
        <v>0.16355056817249061</v>
      </c>
      <c r="DM7" s="5">
        <v>10</v>
      </c>
      <c r="DN7" s="3">
        <v>0</v>
      </c>
      <c r="DP7" s="5">
        <v>2</v>
      </c>
      <c r="DQ7" s="41">
        <v>0.16256000000000001</v>
      </c>
      <c r="DR7" s="34">
        <f t="shared" ref="DR7:DR20" si="33">1.00000381*(1+0.00000084*($DR$5-19.8))</f>
        <v>1.0000033479982398</v>
      </c>
      <c r="DS7" s="21">
        <f t="shared" ref="DS7:DS20" si="34">DQ7*DR7</f>
        <v>0.16256054425059385</v>
      </c>
      <c r="DT7" s="5">
        <v>10</v>
      </c>
      <c r="DU7" s="3">
        <v>1.0000000000000001E-5</v>
      </c>
      <c r="DW7" s="5">
        <v>2</v>
      </c>
      <c r="DX7" s="41">
        <v>0.16361000000000001</v>
      </c>
      <c r="DY7" s="34">
        <f t="shared" ref="DY7:DY20" si="35">1.00000381*(1+0.00000084*($DY$5-19.8))</f>
        <v>1.0000043980022402</v>
      </c>
      <c r="DZ7" s="21">
        <f t="shared" ref="DZ7:DZ20" si="36">DX7*DY7</f>
        <v>0.16361071955714651</v>
      </c>
      <c r="EA7" s="5">
        <v>10</v>
      </c>
      <c r="EB7" s="3">
        <v>1.0000000000000001E-5</v>
      </c>
      <c r="ED7" s="5">
        <v>2</v>
      </c>
      <c r="EE7" s="41">
        <v>0.16391</v>
      </c>
      <c r="EF7" s="34">
        <f t="shared" ref="EF7:EF20" si="37">1.00000381*(1+0.00000084*($EF$5-19.8))</f>
        <v>1.0000106560260833</v>
      </c>
      <c r="EG7" s="21">
        <f t="shared" ref="EG7:EG20" si="38">EE7*EF7</f>
        <v>0.16391174662923533</v>
      </c>
      <c r="EH7" s="5">
        <v>10</v>
      </c>
      <c r="EI7" s="3">
        <v>1.0000000000000001E-5</v>
      </c>
      <c r="EK7" s="5">
        <v>2</v>
      </c>
      <c r="EL7" s="41">
        <v>0.16339000000000001</v>
      </c>
      <c r="EM7" s="34">
        <f t="shared" ref="EM7:EM20" si="39">1.00000381*(1+0.00000084*($EM$5-19.8))</f>
        <v>1.0000063300096012</v>
      </c>
      <c r="EN7" s="21">
        <f t="shared" ref="EN7:EN20" si="40">EL7*EM7</f>
        <v>0.16339103426026874</v>
      </c>
      <c r="EO7" s="5">
        <v>10</v>
      </c>
      <c r="EP7" s="3">
        <v>0</v>
      </c>
      <c r="ER7" s="5">
        <v>2</v>
      </c>
      <c r="ES7" s="41">
        <v>0.16314000000000001</v>
      </c>
      <c r="ET7" s="34">
        <f t="shared" ref="ET7:ET20" si="41">1.00000381*(1+0.00000084*($ET$5-19.8))</f>
        <v>1.0000117480302437</v>
      </c>
      <c r="EU7" s="21">
        <f t="shared" ref="EU7:EU20" si="42">ES7*ET7</f>
        <v>0.16314191657365396</v>
      </c>
      <c r="EV7" s="5">
        <v>10</v>
      </c>
      <c r="EW7" s="3">
        <v>0</v>
      </c>
      <c r="EY7" s="5">
        <v>2</v>
      </c>
      <c r="EZ7" s="41">
        <v>0.16249</v>
      </c>
      <c r="FA7" s="34">
        <f t="shared" ref="FA7:FA20" si="43">1.00000381*(1+0.00000084*($FA$5-19.8))</f>
        <v>1.0000030119969596</v>
      </c>
      <c r="FB7" s="21">
        <f t="shared" ref="FB7:FB20" si="44">EZ7*FA7</f>
        <v>0.16249048941938596</v>
      </c>
      <c r="FC7" s="5">
        <v>10</v>
      </c>
      <c r="FD7" s="3">
        <v>0</v>
      </c>
      <c r="FF7" s="5">
        <v>2</v>
      </c>
      <c r="FG7" s="41">
        <v>0.16309999999999999</v>
      </c>
      <c r="FH7" s="34">
        <f t="shared" ref="FH7:FH20" si="45">1.00000381*(1+0.00000084*($FH$5-19.8))</f>
        <v>1.0000025919953595</v>
      </c>
      <c r="FI7" s="21">
        <f t="shared" ref="FI7:FI20" si="46">FG7*FH7</f>
        <v>0.16310042275444311</v>
      </c>
      <c r="FJ7" s="5">
        <v>10</v>
      </c>
      <c r="FK7" s="3">
        <v>0</v>
      </c>
      <c r="FM7" s="5">
        <v>2</v>
      </c>
      <c r="FN7" s="41">
        <v>0.16205</v>
      </c>
      <c r="FO7" s="34">
        <f t="shared" ref="FO7:FO20" si="47">1.00000381*(1+0.00000084*($FO$5-19.8))</f>
        <v>1.0000010379894386</v>
      </c>
      <c r="FP7" s="21">
        <f t="shared" ref="FP7:FP20" si="48">FN7*FO7</f>
        <v>0.16205016820618853</v>
      </c>
      <c r="FQ7" s="5">
        <v>10</v>
      </c>
      <c r="FR7" s="3">
        <v>1.0000000000000001E-5</v>
      </c>
      <c r="FS7" s="15"/>
      <c r="FT7" s="5">
        <v>2</v>
      </c>
      <c r="FU7" s="41">
        <v>0.16361000000000001</v>
      </c>
      <c r="FV7" s="34">
        <f t="shared" ref="FV7:FV20" si="49">1.00000381*(1+0.00000084*($FV$5-19.8))</f>
        <v>0.99999931598287772</v>
      </c>
      <c r="FW7" s="21">
        <f t="shared" ref="FW7:FW20" si="50">FU7*FV7</f>
        <v>0.16360988808795862</v>
      </c>
      <c r="FX7" s="5">
        <v>10</v>
      </c>
      <c r="FY7" s="3">
        <v>1.0000000000000001E-5</v>
      </c>
      <c r="GA7" s="5">
        <v>2</v>
      </c>
      <c r="GB7" s="41">
        <v>0.16377</v>
      </c>
      <c r="GC7" s="34">
        <f t="shared" ref="GC7:GC20" si="51">1.00000381*(1+0.00000084*($GC$5-19.8))</f>
        <v>1.0000012059900787</v>
      </c>
      <c r="GD7" s="21">
        <f t="shared" ref="GD7:GD20" si="52">GB7*GC7</f>
        <v>0.16377019750499519</v>
      </c>
      <c r="GE7" s="5">
        <v>10</v>
      </c>
      <c r="GF7" s="3">
        <v>0</v>
      </c>
      <c r="GH7" s="5">
        <v>2</v>
      </c>
      <c r="GI7" s="41">
        <v>0.16356000000000001</v>
      </c>
      <c r="GJ7" s="34">
        <f t="shared" ref="GJ7:GJ20" si="53">1.00000381*(1+0.00000084*($GJ$5-19.8))</f>
        <v>1.0000007019881585</v>
      </c>
      <c r="GK7" s="21">
        <f t="shared" ref="GK7:GK20" si="54">GI7*GJ7</f>
        <v>0.16356011481718322</v>
      </c>
      <c r="GL7" s="5">
        <v>10</v>
      </c>
      <c r="GM7" s="3">
        <v>1.0000000000000001E-5</v>
      </c>
      <c r="GO7" s="5">
        <v>2</v>
      </c>
      <c r="GP7" s="41">
        <v>0.16278999999999999</v>
      </c>
      <c r="GQ7" s="34">
        <f t="shared" ref="GQ7:GQ20" si="55">1.00000381*(1+0.00000084*($GQ$5-19.8))</f>
        <v>0.999999735984478</v>
      </c>
      <c r="GR7" s="21">
        <f t="shared" ref="GR7:GR20" si="56">GP7*GQ7</f>
        <v>0.16278995702091317</v>
      </c>
      <c r="GS7" s="5">
        <v>10</v>
      </c>
      <c r="GT7" s="3">
        <v>1.0000000000000001E-5</v>
      </c>
      <c r="GV7" s="5">
        <v>2</v>
      </c>
      <c r="GW7" s="41">
        <v>0.16335</v>
      </c>
      <c r="GX7" s="34">
        <f t="shared" ref="GX7:GX20" si="57">1.00000381*(1+0.00000084*($GX$5-19.8))</f>
        <v>1.0000041670013602</v>
      </c>
      <c r="GY7" s="21">
        <f t="shared" ref="GY7:GY20" si="58">GW7*GX7</f>
        <v>0.16335068067967218</v>
      </c>
      <c r="GZ7" s="5">
        <v>10</v>
      </c>
      <c r="HA7" s="3">
        <v>1.0000000000000001E-5</v>
      </c>
      <c r="HC7" s="5">
        <v>2</v>
      </c>
      <c r="HD7" s="41">
        <v>0.16189000000000001</v>
      </c>
      <c r="HE7" s="34">
        <f t="shared" ref="HE7:HE20" si="59">1.00000381*(1+0.00000084*($HE$5-19.8))</f>
        <v>1.0000089970197623</v>
      </c>
      <c r="HF7" s="21">
        <f t="shared" ref="HF7:HF20" si="60">HD7*HE7</f>
        <v>0.16189145652752931</v>
      </c>
      <c r="HG7" s="5">
        <v>10</v>
      </c>
      <c r="HH7" s="3">
        <v>1.0000000000000001E-5</v>
      </c>
      <c r="HJ7" s="5">
        <v>2</v>
      </c>
      <c r="HK7" s="41">
        <v>0.16223000000000001</v>
      </c>
      <c r="HL7" s="34">
        <f t="shared" ref="HL7:HL20" si="61">1.00000381*(1+0.00000084*($HL$5-19.8))</f>
        <v>0.99999992498519807</v>
      </c>
      <c r="HM7" s="21">
        <f t="shared" ref="HM7:HM20" si="62">HK7*HL7</f>
        <v>0.1622299878303487</v>
      </c>
      <c r="HN7" s="5">
        <v>10</v>
      </c>
      <c r="HO7" s="3">
        <v>0</v>
      </c>
      <c r="HQ7" s="5">
        <v>2</v>
      </c>
      <c r="HR7" s="41">
        <v>0.16366</v>
      </c>
      <c r="HS7" s="34">
        <f t="shared" ref="HS7:HS20" si="63">1.00000381*(1+0.00000084*($HS$5-19.8))</f>
        <v>1.0000073380134415</v>
      </c>
      <c r="HT7" s="21">
        <f t="shared" ref="HT7:HT20" si="64">HR7*HS7</f>
        <v>0.16366120093927986</v>
      </c>
      <c r="HU7" s="5">
        <v>10</v>
      </c>
      <c r="HV7" s="3">
        <v>1.0000000000000001E-5</v>
      </c>
    </row>
    <row r="8" spans="1:230" ht="15.75" x14ac:dyDescent="0.25">
      <c r="A8" s="5">
        <v>3</v>
      </c>
      <c r="B8" s="5">
        <v>0.32889000000000002</v>
      </c>
      <c r="C8" s="5">
        <f t="shared" si="2"/>
        <v>1.0000075060140818</v>
      </c>
      <c r="D8" s="8">
        <f t="shared" si="0"/>
        <v>0.32889246865297139</v>
      </c>
      <c r="E8" s="5">
        <v>10</v>
      </c>
      <c r="F8" s="5">
        <v>1.0000000000000001E-5</v>
      </c>
      <c r="H8" s="5">
        <v>3</v>
      </c>
      <c r="I8" s="9">
        <v>0.32727000000000001</v>
      </c>
      <c r="J8" s="5">
        <f t="shared" si="3"/>
        <v>1.000005994008321</v>
      </c>
      <c r="K8" s="21">
        <f t="shared" si="1"/>
        <v>0.32727196165910322</v>
      </c>
      <c r="L8" s="5">
        <v>10</v>
      </c>
      <c r="M8" s="5">
        <v>1.0000000000000001E-5</v>
      </c>
      <c r="O8" s="5">
        <v>3</v>
      </c>
      <c r="P8" s="9">
        <v>0.32625999999999999</v>
      </c>
      <c r="Q8" s="5">
        <f t="shared" si="4"/>
        <v>1.0000073380134415</v>
      </c>
      <c r="R8" s="21">
        <f t="shared" si="5"/>
        <v>0.32626239410026542</v>
      </c>
      <c r="S8" s="5">
        <v>10</v>
      </c>
      <c r="T8" s="5"/>
      <c r="V8" s="5">
        <v>3</v>
      </c>
      <c r="W8" s="9">
        <v>0.32307000000000002</v>
      </c>
      <c r="X8" s="5">
        <f>1.00000381*(1+0.00000084*($X$5-19.8))</f>
        <v>1.0000073380134415</v>
      </c>
      <c r="Y8" s="21">
        <f t="shared" si="7"/>
        <v>0.32307237069200256</v>
      </c>
      <c r="Z8" s="5">
        <v>10</v>
      </c>
      <c r="AA8" s="5">
        <v>0</v>
      </c>
      <c r="AC8" s="5">
        <v>3</v>
      </c>
      <c r="AD8" s="9">
        <v>0.32595000000000002</v>
      </c>
      <c r="AE8" s="5">
        <f t="shared" si="8"/>
        <v>1.0000035579990398</v>
      </c>
      <c r="AF8" s="21">
        <f t="shared" si="9"/>
        <v>0.32595115972978705</v>
      </c>
      <c r="AG8" s="5">
        <v>10</v>
      </c>
      <c r="AH8" s="5"/>
      <c r="AJ8" s="5">
        <v>3</v>
      </c>
      <c r="AK8" s="9">
        <v>0.32657999999999998</v>
      </c>
      <c r="AL8" s="5">
        <f t="shared" si="10"/>
        <v>1.0000119580310438</v>
      </c>
      <c r="AM8" s="21">
        <f t="shared" si="11"/>
        <v>0.32658390525377828</v>
      </c>
      <c r="AN8" s="5">
        <v>10</v>
      </c>
      <c r="AO8" s="5"/>
      <c r="AQ8" s="5">
        <v>3</v>
      </c>
      <c r="AR8" s="9">
        <v>0.32819999999999999</v>
      </c>
      <c r="AS8" s="34">
        <f t="shared" si="12"/>
        <v>1.0000006179878385</v>
      </c>
      <c r="AT8" s="21">
        <f t="shared" si="13"/>
        <v>0.32820020282360857</v>
      </c>
      <c r="AU8" s="5">
        <v>10</v>
      </c>
      <c r="AV8" s="5">
        <v>1.0000000000000001E-5</v>
      </c>
      <c r="AX8" s="5">
        <v>3</v>
      </c>
      <c r="AY8" s="9">
        <v>0.32740000000000002</v>
      </c>
      <c r="AZ8" s="34">
        <f t="shared" si="14"/>
        <v>1.0000011219897587</v>
      </c>
      <c r="BA8" s="21">
        <f t="shared" si="15"/>
        <v>0.327400367339447</v>
      </c>
      <c r="BB8" s="5">
        <v>10</v>
      </c>
      <c r="BC8" s="5">
        <v>0</v>
      </c>
      <c r="BE8" s="5">
        <v>3</v>
      </c>
      <c r="BF8" s="9">
        <v>0.32926</v>
      </c>
      <c r="BG8" s="34">
        <f t="shared" si="16"/>
        <v>1.0000064140099212</v>
      </c>
      <c r="BH8" s="21">
        <f t="shared" si="17"/>
        <v>0.32926211187690663</v>
      </c>
      <c r="BI8" s="5">
        <v>10</v>
      </c>
      <c r="BJ8" s="5">
        <v>1.0000000000000001E-5</v>
      </c>
      <c r="BL8" s="5">
        <v>3</v>
      </c>
      <c r="BM8" s="3">
        <v>0.32607999999999998</v>
      </c>
      <c r="BN8" s="34">
        <f t="shared" si="18"/>
        <v>1.0000033479982398</v>
      </c>
      <c r="BO8" s="21">
        <f t="shared" si="19"/>
        <v>0.326081091715266</v>
      </c>
      <c r="BP8" s="5">
        <v>10</v>
      </c>
      <c r="BQ8" s="3">
        <v>1.0000000000000001E-5</v>
      </c>
      <c r="BS8" s="5">
        <v>3</v>
      </c>
      <c r="BT8" s="3">
        <v>0.32639000000000001</v>
      </c>
      <c r="BU8" s="34">
        <f t="shared" ref="BU8:BU20" si="65">1.00000381*(1+0.00000084*($BU$5-19.8))</f>
        <v>1.0000107400264033</v>
      </c>
      <c r="BV8" s="21">
        <f t="shared" si="20"/>
        <v>0.32639350543721779</v>
      </c>
      <c r="BW8" s="5">
        <v>10</v>
      </c>
      <c r="BX8" s="3">
        <v>1.0000000000000001E-5</v>
      </c>
      <c r="BZ8" s="5">
        <v>3</v>
      </c>
      <c r="CA8" s="41">
        <v>0.32527</v>
      </c>
      <c r="CB8" s="34">
        <f t="shared" si="21"/>
        <v>1.0000057420073609</v>
      </c>
      <c r="CC8" s="21">
        <f t="shared" si="22"/>
        <v>0.32527186770273431</v>
      </c>
      <c r="CD8" s="5">
        <v>10</v>
      </c>
      <c r="CE8" s="41">
        <v>1.0000000000000001E-5</v>
      </c>
      <c r="CG8" s="5">
        <v>3</v>
      </c>
      <c r="CH8" s="41">
        <v>0.32525999999999999</v>
      </c>
      <c r="CI8" s="34">
        <f t="shared" si="23"/>
        <v>1.000009900023203</v>
      </c>
      <c r="CJ8" s="21">
        <f t="shared" si="24"/>
        <v>0.32526322008154701</v>
      </c>
      <c r="CK8" s="5">
        <v>10</v>
      </c>
      <c r="CL8" s="3">
        <v>1.0000000000000001E-5</v>
      </c>
      <c r="CN8" s="5">
        <v>3</v>
      </c>
      <c r="CO8" s="41">
        <v>0.32518999999999998</v>
      </c>
      <c r="CP8" s="34">
        <f t="shared" si="25"/>
        <v>1.0000010799895986</v>
      </c>
      <c r="CQ8" s="21">
        <f t="shared" si="26"/>
        <v>0.32519035120181755</v>
      </c>
      <c r="CR8" s="5">
        <v>10</v>
      </c>
      <c r="CS8" s="3">
        <v>1.0000000000000001E-5</v>
      </c>
      <c r="CU8" s="5">
        <v>3</v>
      </c>
      <c r="CV8" s="41">
        <v>0.32669999999999999</v>
      </c>
      <c r="CW8" s="34">
        <f t="shared" si="27"/>
        <v>1.0000025079950392</v>
      </c>
      <c r="CX8" s="21">
        <f t="shared" si="28"/>
        <v>0.32670081936197931</v>
      </c>
      <c r="CY8" s="5">
        <v>10</v>
      </c>
      <c r="CZ8" s="3">
        <v>1.0000000000000001E-5</v>
      </c>
      <c r="DB8" s="5">
        <v>3</v>
      </c>
      <c r="DC8" s="41">
        <v>0.32824999999999999</v>
      </c>
      <c r="DD8" s="34">
        <f t="shared" si="29"/>
        <v>0.99999965198415797</v>
      </c>
      <c r="DE8" s="21">
        <f t="shared" si="30"/>
        <v>0.32824988576379982</v>
      </c>
      <c r="DF8" s="5">
        <v>10</v>
      </c>
      <c r="DG8" s="3">
        <v>0</v>
      </c>
      <c r="DI8" s="5">
        <v>3</v>
      </c>
      <c r="DJ8" s="41">
        <v>0.32751000000000002</v>
      </c>
      <c r="DK8" s="34">
        <f t="shared" si="31"/>
        <v>1.0000034739987198</v>
      </c>
      <c r="DL8" s="21">
        <f t="shared" si="32"/>
        <v>0.32751113776932073</v>
      </c>
      <c r="DM8" s="5">
        <v>10</v>
      </c>
      <c r="DN8" s="3">
        <v>0</v>
      </c>
      <c r="DP8" s="5">
        <v>3</v>
      </c>
      <c r="DQ8" s="41">
        <v>0.32655000000000001</v>
      </c>
      <c r="DR8" s="34">
        <f t="shared" si="33"/>
        <v>1.0000033479982398</v>
      </c>
      <c r="DS8" s="21">
        <f t="shared" si="34"/>
        <v>0.3265510932888252</v>
      </c>
      <c r="DT8" s="5">
        <v>10</v>
      </c>
      <c r="DU8" s="3">
        <v>1.0000000000000001E-5</v>
      </c>
      <c r="DW8" s="5">
        <v>3</v>
      </c>
      <c r="DX8" s="41">
        <v>0.32767000000000002</v>
      </c>
      <c r="DY8" s="34">
        <f t="shared" si="35"/>
        <v>1.0000043980022402</v>
      </c>
      <c r="DZ8" s="21">
        <f t="shared" si="36"/>
        <v>0.32767144109339408</v>
      </c>
      <c r="EA8" s="5">
        <v>10</v>
      </c>
      <c r="EB8" s="3">
        <v>1.0000000000000001E-5</v>
      </c>
      <c r="ED8" s="5">
        <v>3</v>
      </c>
      <c r="EE8" s="41">
        <v>0.32793</v>
      </c>
      <c r="EF8" s="34">
        <f t="shared" si="37"/>
        <v>1.0000106560260833</v>
      </c>
      <c r="EG8" s="21">
        <f t="shared" si="38"/>
        <v>0.32793349443063352</v>
      </c>
      <c r="EH8" s="5">
        <v>10</v>
      </c>
      <c r="EI8" s="3">
        <v>1.0000000000000001E-5</v>
      </c>
      <c r="EK8" s="5">
        <v>3</v>
      </c>
      <c r="EL8" s="41">
        <v>0.32740000000000002</v>
      </c>
      <c r="EM8" s="34">
        <f t="shared" si="39"/>
        <v>1.0000063300096012</v>
      </c>
      <c r="EN8" s="21">
        <f t="shared" si="40"/>
        <v>0.32740207244514347</v>
      </c>
      <c r="EO8" s="5">
        <v>10</v>
      </c>
      <c r="EP8" s="3">
        <v>0</v>
      </c>
      <c r="ER8" s="5">
        <v>3</v>
      </c>
      <c r="ES8" s="41">
        <v>0.32713999999999999</v>
      </c>
      <c r="ET8" s="34">
        <f t="shared" si="41"/>
        <v>1.0000117480302437</v>
      </c>
      <c r="EU8" s="21">
        <f t="shared" si="42"/>
        <v>0.32714384325061391</v>
      </c>
      <c r="EV8" s="5">
        <v>10</v>
      </c>
      <c r="EW8" s="3">
        <v>0</v>
      </c>
      <c r="EY8" s="5">
        <v>3</v>
      </c>
      <c r="EZ8" s="41">
        <v>0.32652999999999999</v>
      </c>
      <c r="FA8" s="34">
        <f t="shared" si="43"/>
        <v>1.0000030119969596</v>
      </c>
      <c r="FB8" s="21">
        <f t="shared" si="44"/>
        <v>0.3265309835073672</v>
      </c>
      <c r="FC8" s="5">
        <v>10</v>
      </c>
      <c r="FD8" s="3">
        <v>1.0000000000000001E-5</v>
      </c>
      <c r="FF8" s="5">
        <v>3</v>
      </c>
      <c r="FG8" s="41">
        <v>0.32715</v>
      </c>
      <c r="FH8" s="34">
        <f t="shared" si="45"/>
        <v>1.0000025919953595</v>
      </c>
      <c r="FI8" s="21">
        <f t="shared" si="46"/>
        <v>0.32715084797128186</v>
      </c>
      <c r="FJ8" s="5">
        <v>10</v>
      </c>
      <c r="FK8" s="3">
        <v>0</v>
      </c>
      <c r="FM8" s="5">
        <v>3</v>
      </c>
      <c r="FN8" s="41">
        <v>0.32607000000000003</v>
      </c>
      <c r="FO8" s="34">
        <f t="shared" si="47"/>
        <v>1.0000010379894386</v>
      </c>
      <c r="FP8" s="21">
        <f t="shared" si="48"/>
        <v>0.32607033845721628</v>
      </c>
      <c r="FQ8" s="5">
        <v>10</v>
      </c>
      <c r="FR8" s="3">
        <v>1.0000000000000001E-5</v>
      </c>
      <c r="FS8" s="15"/>
      <c r="FT8" s="5">
        <v>3</v>
      </c>
      <c r="FU8" s="41">
        <v>0.32763999999999999</v>
      </c>
      <c r="FV8" s="34">
        <f t="shared" si="49"/>
        <v>0.99999931598287772</v>
      </c>
      <c r="FW8" s="21">
        <f t="shared" si="50"/>
        <v>0.32763977588863002</v>
      </c>
      <c r="FX8" s="5">
        <v>10</v>
      </c>
      <c r="FY8" s="3">
        <v>0</v>
      </c>
      <c r="GA8" s="5">
        <v>3</v>
      </c>
      <c r="GB8" s="41">
        <v>0.32779999999999998</v>
      </c>
      <c r="GC8" s="34">
        <f t="shared" si="51"/>
        <v>1.0000012059900787</v>
      </c>
      <c r="GD8" s="21">
        <f t="shared" si="52"/>
        <v>0.32780039532354777</v>
      </c>
      <c r="GE8" s="5">
        <v>10</v>
      </c>
      <c r="GF8" s="3">
        <v>0</v>
      </c>
      <c r="GH8" s="5">
        <v>3</v>
      </c>
      <c r="GI8" s="41">
        <v>0.32762000000000002</v>
      </c>
      <c r="GJ8" s="34">
        <f t="shared" si="53"/>
        <v>1.0000007019881585</v>
      </c>
      <c r="GK8" s="21">
        <f t="shared" si="54"/>
        <v>0.3276202299853605</v>
      </c>
      <c r="GL8" s="5">
        <v>10</v>
      </c>
      <c r="GM8" s="3">
        <v>1.0000000000000001E-5</v>
      </c>
      <c r="GO8" s="5">
        <v>3</v>
      </c>
      <c r="GP8" s="41">
        <v>0.32679999999999998</v>
      </c>
      <c r="GQ8" s="34">
        <f t="shared" si="55"/>
        <v>0.999999735984478</v>
      </c>
      <c r="GR8" s="21">
        <f t="shared" si="56"/>
        <v>0.32679991371972739</v>
      </c>
      <c r="GS8" s="5">
        <v>10</v>
      </c>
      <c r="GT8" s="3">
        <v>0</v>
      </c>
      <c r="GV8" s="5">
        <v>3</v>
      </c>
      <c r="GW8" s="41">
        <v>0.32734999999999997</v>
      </c>
      <c r="GX8" s="34">
        <f t="shared" si="57"/>
        <v>1.0000041670013602</v>
      </c>
      <c r="GY8" s="21">
        <f t="shared" si="58"/>
        <v>0.32735136406789522</v>
      </c>
      <c r="GZ8" s="5">
        <v>10</v>
      </c>
      <c r="HA8" s="3">
        <v>1.0000000000000001E-5</v>
      </c>
      <c r="HC8" s="5">
        <v>3</v>
      </c>
      <c r="HD8" s="41">
        <v>0.32584000000000002</v>
      </c>
      <c r="HE8" s="34">
        <f t="shared" si="59"/>
        <v>1.0000089970197623</v>
      </c>
      <c r="HF8" s="21">
        <f t="shared" si="60"/>
        <v>0.32584293158891936</v>
      </c>
      <c r="HG8" s="5">
        <v>10</v>
      </c>
      <c r="HH8" s="3">
        <v>1.0000000000000001E-5</v>
      </c>
      <c r="HJ8" s="5">
        <v>3</v>
      </c>
      <c r="HK8" s="41">
        <v>0.32623999999999997</v>
      </c>
      <c r="HL8" s="34">
        <f t="shared" si="61"/>
        <v>0.99999992498519807</v>
      </c>
      <c r="HM8" s="21">
        <f t="shared" si="62"/>
        <v>0.32623997552717099</v>
      </c>
      <c r="HN8" s="5">
        <v>10</v>
      </c>
      <c r="HO8" s="3">
        <v>1.0000000000000001E-5</v>
      </c>
      <c r="HQ8" s="5">
        <v>3</v>
      </c>
      <c r="HR8" s="41">
        <v>0.32768999999999998</v>
      </c>
      <c r="HS8" s="34">
        <f t="shared" si="63"/>
        <v>1.0000073380134415</v>
      </c>
      <c r="HT8" s="21">
        <f t="shared" si="64"/>
        <v>0.32769240459362464</v>
      </c>
      <c r="HU8" s="5">
        <v>10</v>
      </c>
      <c r="HV8" s="3">
        <v>1.0000000000000001E-5</v>
      </c>
    </row>
    <row r="9" spans="1:230" ht="15.75" x14ac:dyDescent="0.25">
      <c r="A9" s="5">
        <v>4</v>
      </c>
      <c r="B9" s="5">
        <v>0.47469</v>
      </c>
      <c r="C9" s="5">
        <f t="shared" si="2"/>
        <v>1.0000075060140818</v>
      </c>
      <c r="D9" s="8">
        <f t="shared" si="0"/>
        <v>0.47469356302982452</v>
      </c>
      <c r="E9" s="5">
        <v>10</v>
      </c>
      <c r="F9" s="5">
        <v>1.0000000000000001E-5</v>
      </c>
      <c r="H9" s="5">
        <v>4</v>
      </c>
      <c r="I9" s="9">
        <v>0.47333999999999998</v>
      </c>
      <c r="J9" s="5">
        <f t="shared" si="3"/>
        <v>1.000005994008321</v>
      </c>
      <c r="K9" s="21">
        <f t="shared" si="1"/>
        <v>0.47334283720389864</v>
      </c>
      <c r="L9" s="5">
        <v>10</v>
      </c>
      <c r="M9" s="5">
        <v>1.0000000000000001E-5</v>
      </c>
      <c r="O9" s="5">
        <v>4</v>
      </c>
      <c r="P9" s="9">
        <v>0.47238999999999998</v>
      </c>
      <c r="Q9" s="5">
        <f t="shared" si="4"/>
        <v>1.0000073380134415</v>
      </c>
      <c r="R9" s="21">
        <f t="shared" si="5"/>
        <v>0.47239346640416963</v>
      </c>
      <c r="S9" s="5">
        <v>10</v>
      </c>
      <c r="T9" s="5"/>
      <c r="V9" s="5">
        <v>4</v>
      </c>
      <c r="W9" s="9">
        <v>0.46921000000000002</v>
      </c>
      <c r="X9" s="5">
        <f t="shared" si="6"/>
        <v>1.0000073380134415</v>
      </c>
      <c r="Y9" s="21">
        <f t="shared" si="7"/>
        <v>0.46921344306928692</v>
      </c>
      <c r="Z9" s="5">
        <v>10</v>
      </c>
      <c r="AA9" s="5">
        <v>1.0000000000000001E-5</v>
      </c>
      <c r="AC9" s="5">
        <v>4</v>
      </c>
      <c r="AD9" s="9">
        <v>0.47205000000000003</v>
      </c>
      <c r="AE9" s="5">
        <f t="shared" si="8"/>
        <v>1.0000035579990398</v>
      </c>
      <c r="AF9" s="21">
        <f t="shared" si="9"/>
        <v>0.47205167955344679</v>
      </c>
      <c r="AG9" s="5">
        <v>10</v>
      </c>
      <c r="AH9" s="5"/>
      <c r="AJ9" s="5">
        <v>4</v>
      </c>
      <c r="AK9" s="9">
        <v>0.47264</v>
      </c>
      <c r="AL9" s="5">
        <f t="shared" si="10"/>
        <v>1.0000119580310438</v>
      </c>
      <c r="AM9" s="21">
        <f t="shared" si="11"/>
        <v>0.47264565184379254</v>
      </c>
      <c r="AN9" s="5">
        <v>10</v>
      </c>
      <c r="AO9" s="5"/>
      <c r="AQ9" s="5">
        <v>4</v>
      </c>
      <c r="AR9" s="9">
        <v>0.4743</v>
      </c>
      <c r="AS9" s="34">
        <f t="shared" si="12"/>
        <v>1.0000006179878385</v>
      </c>
      <c r="AT9" s="21">
        <f t="shared" si="13"/>
        <v>0.4743002931116318</v>
      </c>
      <c r="AU9" s="5">
        <v>10</v>
      </c>
      <c r="AV9" s="5">
        <v>1.0000000000000001E-5</v>
      </c>
      <c r="AX9" s="5">
        <v>4</v>
      </c>
      <c r="AY9" s="9">
        <v>0.47347</v>
      </c>
      <c r="AZ9" s="34">
        <f t="shared" si="14"/>
        <v>1.0000011219897587</v>
      </c>
      <c r="BA9" s="21">
        <f t="shared" si="15"/>
        <v>0.47347053122849103</v>
      </c>
      <c r="BB9" s="5">
        <v>10</v>
      </c>
      <c r="BC9" s="5">
        <v>1.0000000000000001E-5</v>
      </c>
      <c r="BE9" s="5">
        <v>4</v>
      </c>
      <c r="BF9" s="9">
        <v>0.47515000000000002</v>
      </c>
      <c r="BG9" s="34">
        <f t="shared" si="16"/>
        <v>1.0000064140099212</v>
      </c>
      <c r="BH9" s="21">
        <f t="shared" si="17"/>
        <v>0.47515304761681409</v>
      </c>
      <c r="BI9" s="5">
        <v>10</v>
      </c>
      <c r="BJ9" s="5">
        <v>1.0000000000000001E-5</v>
      </c>
      <c r="BL9" s="5">
        <v>4</v>
      </c>
      <c r="BM9" s="3">
        <v>0.47211999999999998</v>
      </c>
      <c r="BN9" s="34">
        <f t="shared" si="18"/>
        <v>1.0000033479982398</v>
      </c>
      <c r="BO9" s="21">
        <f t="shared" si="19"/>
        <v>0.47212158065692894</v>
      </c>
      <c r="BP9" s="5">
        <v>10</v>
      </c>
      <c r="BQ9" s="3">
        <v>1.0000000000000001E-5</v>
      </c>
      <c r="BS9" s="5">
        <v>4</v>
      </c>
      <c r="BT9" s="3">
        <v>0.47247</v>
      </c>
      <c r="BU9" s="34">
        <f t="shared" si="65"/>
        <v>1.0000107400264033</v>
      </c>
      <c r="BV9" s="21">
        <f t="shared" si="20"/>
        <v>0.4724750743402748</v>
      </c>
      <c r="BW9" s="5">
        <v>10</v>
      </c>
      <c r="BX9" s="3">
        <v>1.0000000000000001E-5</v>
      </c>
      <c r="BZ9" s="5">
        <v>4</v>
      </c>
      <c r="CA9" s="41">
        <v>0.47141</v>
      </c>
      <c r="CB9" s="34">
        <f t="shared" si="21"/>
        <v>1.0000057420073609</v>
      </c>
      <c r="CC9" s="21">
        <f t="shared" si="22"/>
        <v>0.47141270683969</v>
      </c>
      <c r="CD9" s="5">
        <v>10</v>
      </c>
      <c r="CE9" s="41">
        <v>0</v>
      </c>
      <c r="CG9" s="5">
        <v>4</v>
      </c>
      <c r="CH9" s="41">
        <v>0.47142000000000001</v>
      </c>
      <c r="CI9" s="34">
        <f t="shared" si="23"/>
        <v>1.000009900023203</v>
      </c>
      <c r="CJ9" s="21">
        <f t="shared" si="24"/>
        <v>0.47142466706893837</v>
      </c>
      <c r="CK9" s="5">
        <v>10</v>
      </c>
      <c r="CL9" s="3">
        <v>1.0000000000000001E-5</v>
      </c>
      <c r="CN9" s="5">
        <v>4</v>
      </c>
      <c r="CO9" s="41">
        <v>0.47125</v>
      </c>
      <c r="CP9" s="34">
        <f t="shared" si="25"/>
        <v>1.0000010799895986</v>
      </c>
      <c r="CQ9" s="21">
        <f t="shared" si="26"/>
        <v>0.47125050894509835</v>
      </c>
      <c r="CR9" s="5">
        <v>10</v>
      </c>
      <c r="CS9" s="3">
        <v>0</v>
      </c>
      <c r="CU9" s="5">
        <v>4</v>
      </c>
      <c r="CV9" s="41">
        <v>0.47282000000000002</v>
      </c>
      <c r="CW9" s="34">
        <f t="shared" si="27"/>
        <v>1.0000025079950392</v>
      </c>
      <c r="CX9" s="21">
        <f t="shared" si="28"/>
        <v>0.47282118583021443</v>
      </c>
      <c r="CY9" s="5">
        <v>10</v>
      </c>
      <c r="CZ9" s="3">
        <v>0</v>
      </c>
      <c r="DB9" s="5">
        <v>4</v>
      </c>
      <c r="DC9" s="41">
        <v>0.47438000000000002</v>
      </c>
      <c r="DD9" s="34">
        <f t="shared" si="29"/>
        <v>0.99999965198415797</v>
      </c>
      <c r="DE9" s="21">
        <f t="shared" si="30"/>
        <v>0.47437983490824487</v>
      </c>
      <c r="DF9" s="5">
        <v>10</v>
      </c>
      <c r="DG9" s="3">
        <v>0</v>
      </c>
      <c r="DI9" s="5">
        <v>4</v>
      </c>
      <c r="DJ9" s="41">
        <v>0.47354000000000002</v>
      </c>
      <c r="DK9" s="34">
        <f t="shared" si="31"/>
        <v>1.0000034739987198</v>
      </c>
      <c r="DL9" s="21">
        <f t="shared" si="32"/>
        <v>0.4735416450773538</v>
      </c>
      <c r="DM9" s="5">
        <v>10</v>
      </c>
      <c r="DN9" s="3">
        <v>0</v>
      </c>
      <c r="DP9" s="5">
        <v>4</v>
      </c>
      <c r="DQ9" s="41">
        <v>0.47276000000000001</v>
      </c>
      <c r="DR9" s="34">
        <f t="shared" si="33"/>
        <v>1.0000033479982398</v>
      </c>
      <c r="DS9" s="21">
        <f t="shared" si="34"/>
        <v>0.47276158279964786</v>
      </c>
      <c r="DT9" s="5">
        <v>10</v>
      </c>
      <c r="DU9" s="3">
        <v>1.0000000000000001E-5</v>
      </c>
      <c r="DW9" s="5">
        <v>4</v>
      </c>
      <c r="DX9" s="41">
        <v>0.47388000000000002</v>
      </c>
      <c r="DY9" s="34">
        <f t="shared" si="35"/>
        <v>1.0000043980022402</v>
      </c>
      <c r="DZ9" s="21">
        <f t="shared" si="36"/>
        <v>0.47388208412530158</v>
      </c>
      <c r="EA9" s="5">
        <v>10</v>
      </c>
      <c r="EB9" s="3">
        <v>1.0000000000000001E-5</v>
      </c>
      <c r="ED9" s="5">
        <v>4</v>
      </c>
      <c r="EE9" s="41">
        <v>0.47413</v>
      </c>
      <c r="EF9" s="34">
        <f t="shared" si="37"/>
        <v>1.0000106560260833</v>
      </c>
      <c r="EG9" s="21">
        <f t="shared" si="38"/>
        <v>0.47413505234164688</v>
      </c>
      <c r="EH9" s="5">
        <v>10</v>
      </c>
      <c r="EI9" s="3">
        <v>1.0000000000000001E-5</v>
      </c>
      <c r="EK9" s="5">
        <v>4</v>
      </c>
      <c r="EL9" s="41">
        <v>0.47355000000000003</v>
      </c>
      <c r="EM9" s="34">
        <f t="shared" si="39"/>
        <v>1.0000063300096012</v>
      </c>
      <c r="EN9" s="21">
        <f t="shared" si="40"/>
        <v>0.47355299757604663</v>
      </c>
      <c r="EO9" s="5">
        <v>10</v>
      </c>
      <c r="EP9" s="3">
        <v>1.0000000000000001E-5</v>
      </c>
      <c r="ER9" s="5">
        <v>4</v>
      </c>
      <c r="ES9" s="41">
        <v>0.47327000000000002</v>
      </c>
      <c r="ET9" s="34">
        <f t="shared" si="41"/>
        <v>1.0000117480302437</v>
      </c>
      <c r="EU9" s="21">
        <f t="shared" si="42"/>
        <v>0.47327555999027349</v>
      </c>
      <c r="EV9" s="5">
        <v>10</v>
      </c>
      <c r="EW9" s="3">
        <v>1.0000000000000001E-5</v>
      </c>
      <c r="EY9" s="5">
        <v>4</v>
      </c>
      <c r="EZ9" s="41">
        <v>0.47271000000000002</v>
      </c>
      <c r="FA9" s="34">
        <f t="shared" si="43"/>
        <v>1.0000030119969596</v>
      </c>
      <c r="FB9" s="21">
        <f t="shared" si="44"/>
        <v>0.47271142380108278</v>
      </c>
      <c r="FC9" s="5">
        <v>10</v>
      </c>
      <c r="FD9" s="3">
        <v>1.0000000000000001E-5</v>
      </c>
      <c r="FF9" s="5">
        <v>4</v>
      </c>
      <c r="FG9" s="41">
        <v>0.47332000000000002</v>
      </c>
      <c r="FH9" s="34">
        <f t="shared" si="45"/>
        <v>1.0000025919953595</v>
      </c>
      <c r="FI9" s="21">
        <f t="shared" si="46"/>
        <v>0.47332122684324357</v>
      </c>
      <c r="FJ9" s="5">
        <v>10</v>
      </c>
      <c r="FK9" s="3">
        <v>1.0000000000000001E-5</v>
      </c>
      <c r="FM9" s="5">
        <v>4</v>
      </c>
      <c r="FN9" s="41">
        <v>0.47223999999999999</v>
      </c>
      <c r="FO9" s="34">
        <f t="shared" si="47"/>
        <v>1.0000010379894386</v>
      </c>
      <c r="FP9" s="21">
        <f t="shared" si="48"/>
        <v>0.47224049018013248</v>
      </c>
      <c r="FQ9" s="5">
        <v>10</v>
      </c>
      <c r="FR9" s="3">
        <v>0</v>
      </c>
      <c r="FS9" s="15"/>
      <c r="FT9" s="5">
        <v>4</v>
      </c>
      <c r="FU9" s="41">
        <v>0.4738</v>
      </c>
      <c r="FV9" s="34">
        <f t="shared" si="49"/>
        <v>0.99999931598287772</v>
      </c>
      <c r="FW9" s="21">
        <f t="shared" si="50"/>
        <v>0.47379967591268746</v>
      </c>
      <c r="FX9" s="5">
        <v>10</v>
      </c>
      <c r="FY9" s="3">
        <v>0</v>
      </c>
      <c r="GA9" s="5">
        <v>4</v>
      </c>
      <c r="GB9" s="41">
        <v>0.47393999999999997</v>
      </c>
      <c r="GC9" s="34">
        <f t="shared" si="51"/>
        <v>1.0000012059900787</v>
      </c>
      <c r="GD9" s="21">
        <f t="shared" si="52"/>
        <v>0.47394057156693786</v>
      </c>
      <c r="GE9" s="5">
        <v>10</v>
      </c>
      <c r="GF9" s="3">
        <v>0</v>
      </c>
      <c r="GH9" s="5">
        <v>4</v>
      </c>
      <c r="GI9" s="41">
        <v>0.47369</v>
      </c>
      <c r="GJ9" s="34">
        <f t="shared" si="53"/>
        <v>1.0000007019881585</v>
      </c>
      <c r="GK9" s="21">
        <f t="shared" si="54"/>
        <v>0.47369033252477077</v>
      </c>
      <c r="GL9" s="5">
        <v>10</v>
      </c>
      <c r="GM9" s="3">
        <v>1.0000000000000001E-5</v>
      </c>
      <c r="GO9" s="5">
        <v>4</v>
      </c>
      <c r="GP9" s="41">
        <v>0.47297</v>
      </c>
      <c r="GQ9" s="34">
        <f t="shared" si="55"/>
        <v>0.999999735984478</v>
      </c>
      <c r="GR9" s="21">
        <f t="shared" si="56"/>
        <v>0.47296987512857858</v>
      </c>
      <c r="GS9" s="5">
        <v>10</v>
      </c>
      <c r="GT9" s="3">
        <v>1.0000000000000001E-5</v>
      </c>
      <c r="GV9" s="5">
        <v>4</v>
      </c>
      <c r="GW9" s="41">
        <v>0.47353000000000001</v>
      </c>
      <c r="GX9" s="34">
        <f t="shared" si="57"/>
        <v>1.0000041670013602</v>
      </c>
      <c r="GY9" s="21">
        <f t="shared" si="58"/>
        <v>0.47353197320015411</v>
      </c>
      <c r="GZ9" s="5">
        <v>10</v>
      </c>
      <c r="HA9" s="3">
        <v>1.0000000000000001E-5</v>
      </c>
      <c r="HC9" s="5">
        <v>4</v>
      </c>
      <c r="HD9" s="41">
        <v>0.47199000000000002</v>
      </c>
      <c r="HE9" s="34">
        <f t="shared" si="59"/>
        <v>1.0000089970197623</v>
      </c>
      <c r="HF9" s="21">
        <f t="shared" si="60"/>
        <v>0.47199424650335764</v>
      </c>
      <c r="HG9" s="5">
        <v>10</v>
      </c>
      <c r="HH9" s="3">
        <v>1.0000000000000001E-5</v>
      </c>
      <c r="HJ9" s="5">
        <v>4</v>
      </c>
      <c r="HK9" s="41">
        <v>0.47242000000000001</v>
      </c>
      <c r="HL9" s="34">
        <f t="shared" si="61"/>
        <v>0.99999992498519807</v>
      </c>
      <c r="HM9" s="21">
        <f t="shared" si="62"/>
        <v>0.47241996456150726</v>
      </c>
      <c r="HN9" s="5">
        <v>10</v>
      </c>
      <c r="HO9" s="3">
        <v>1.0000000000000001E-5</v>
      </c>
      <c r="HQ9" s="5">
        <v>4</v>
      </c>
      <c r="HR9" s="41">
        <v>0.47376000000000001</v>
      </c>
      <c r="HS9" s="34">
        <f t="shared" si="63"/>
        <v>1.0000073380134415</v>
      </c>
      <c r="HT9" s="21">
        <f t="shared" si="64"/>
        <v>0.47376347645724809</v>
      </c>
      <c r="HU9" s="5">
        <v>10</v>
      </c>
      <c r="HV9" s="3">
        <v>1.0000000000000001E-5</v>
      </c>
    </row>
    <row r="10" spans="1:230" ht="15.75" x14ac:dyDescent="0.25">
      <c r="A10" s="5">
        <v>5</v>
      </c>
      <c r="B10" s="5">
        <v>0.68801999999999996</v>
      </c>
      <c r="C10" s="5">
        <f t="shared" si="2"/>
        <v>1.0000075060140818</v>
      </c>
      <c r="D10" s="8">
        <f t="shared" si="0"/>
        <v>0.68802516428780858</v>
      </c>
      <c r="E10" s="5">
        <v>10</v>
      </c>
      <c r="F10" s="5">
        <v>1.0000000000000001E-5</v>
      </c>
      <c r="H10" s="5">
        <v>5</v>
      </c>
      <c r="I10" s="9">
        <v>0.68633</v>
      </c>
      <c r="J10" s="5">
        <f t="shared" si="3"/>
        <v>1.000005994008321</v>
      </c>
      <c r="K10" s="21">
        <f>I10*J10</f>
        <v>0.68633411386773091</v>
      </c>
      <c r="L10" s="5">
        <v>10</v>
      </c>
      <c r="M10" s="5">
        <v>1.0000000000000001E-5</v>
      </c>
      <c r="O10" s="5">
        <v>5</v>
      </c>
      <c r="P10" s="9">
        <v>0.68539000000000005</v>
      </c>
      <c r="Q10" s="5">
        <f t="shared" si="4"/>
        <v>1.0000073380134415</v>
      </c>
      <c r="R10" s="21">
        <f>P10*Q10</f>
        <v>0.68539502940103281</v>
      </c>
      <c r="S10" s="5">
        <v>10</v>
      </c>
      <c r="T10" s="5"/>
      <c r="V10" s="5">
        <v>5</v>
      </c>
      <c r="W10" s="9">
        <v>0.68223999999999996</v>
      </c>
      <c r="X10" s="5">
        <f t="shared" si="6"/>
        <v>1.0000073380134415</v>
      </c>
      <c r="Y10" s="21">
        <f>W10*X10</f>
        <v>0.68224500628629037</v>
      </c>
      <c r="Z10" s="5">
        <v>10</v>
      </c>
      <c r="AA10" s="5">
        <v>1.0000000000000001E-5</v>
      </c>
      <c r="AC10" s="5">
        <v>5</v>
      </c>
      <c r="AD10" s="9">
        <v>0.68503000000000003</v>
      </c>
      <c r="AE10" s="5">
        <f t="shared" si="8"/>
        <v>1.0000035579990398</v>
      </c>
      <c r="AF10" s="21">
        <f>AD10*AE10</f>
        <v>0.68503243733608232</v>
      </c>
      <c r="AG10" s="5">
        <v>10</v>
      </c>
      <c r="AH10" s="5"/>
      <c r="AJ10" s="5">
        <v>5</v>
      </c>
      <c r="AK10" s="9">
        <v>0.68569000000000002</v>
      </c>
      <c r="AL10" s="5">
        <f t="shared" si="10"/>
        <v>1.0000119580310438</v>
      </c>
      <c r="AM10" s="21">
        <f>AK10*AL10</f>
        <v>0.68569819950230648</v>
      </c>
      <c r="AN10" s="5">
        <v>10</v>
      </c>
      <c r="AO10" s="5"/>
      <c r="AQ10" s="5">
        <v>5</v>
      </c>
      <c r="AR10" s="9">
        <v>0.68728999999999996</v>
      </c>
      <c r="AS10" s="34">
        <f t="shared" si="12"/>
        <v>1.0000006179878385</v>
      </c>
      <c r="AT10" s="21">
        <f>AR10*AS10</f>
        <v>0.68729042473686142</v>
      </c>
      <c r="AU10" s="5">
        <v>10</v>
      </c>
      <c r="AV10" s="5">
        <v>1.0000000000000001E-5</v>
      </c>
      <c r="AX10" s="5">
        <v>5</v>
      </c>
      <c r="AY10" s="9">
        <v>0.68650999999999995</v>
      </c>
      <c r="AZ10" s="34">
        <f t="shared" si="14"/>
        <v>1.0000011219897587</v>
      </c>
      <c r="BA10" s="21">
        <f>AY10*AZ10</f>
        <v>0.68651077025718921</v>
      </c>
      <c r="BB10" s="5">
        <v>10</v>
      </c>
      <c r="BC10" s="5">
        <v>0</v>
      </c>
      <c r="BE10" s="5">
        <v>5</v>
      </c>
      <c r="BF10" s="9">
        <v>0.68845000000000001</v>
      </c>
      <c r="BG10" s="34">
        <f t="shared" si="16"/>
        <v>1.0000064140099212</v>
      </c>
      <c r="BH10" s="21">
        <f>BF10*BG10</f>
        <v>0.68845441572513022</v>
      </c>
      <c r="BI10" s="5">
        <v>10</v>
      </c>
      <c r="BJ10" s="5">
        <v>1.0000000000000001E-5</v>
      </c>
      <c r="BL10" s="5">
        <v>5</v>
      </c>
      <c r="BM10" s="3">
        <v>0.68518000000000001</v>
      </c>
      <c r="BN10" s="34">
        <f t="shared" si="18"/>
        <v>1.0000033479982398</v>
      </c>
      <c r="BO10" s="21">
        <f t="shared" si="19"/>
        <v>0.68518229398143393</v>
      </c>
      <c r="BP10" s="5">
        <v>10</v>
      </c>
      <c r="BQ10" s="3">
        <v>2.0000000000000002E-5</v>
      </c>
      <c r="BS10" s="5">
        <v>5</v>
      </c>
      <c r="BT10" s="3">
        <v>0.68557000000000001</v>
      </c>
      <c r="BU10" s="34">
        <f t="shared" si="65"/>
        <v>1.0000107400264033</v>
      </c>
      <c r="BV10" s="21">
        <f t="shared" si="20"/>
        <v>0.68557736303990136</v>
      </c>
      <c r="BW10" s="5">
        <v>10</v>
      </c>
      <c r="BX10" s="3">
        <v>1.0000000000000001E-5</v>
      </c>
      <c r="BZ10" s="5">
        <v>5</v>
      </c>
      <c r="CA10" s="41">
        <v>0.68447000000000002</v>
      </c>
      <c r="CB10" s="34">
        <f t="shared" si="21"/>
        <v>1.0000057420073609</v>
      </c>
      <c r="CC10" s="21">
        <f t="shared" si="22"/>
        <v>0.68447393023177838</v>
      </c>
      <c r="CD10" s="5">
        <v>10</v>
      </c>
      <c r="CE10" s="41">
        <v>1.0000000000000001E-5</v>
      </c>
      <c r="CG10" s="5">
        <v>5</v>
      </c>
      <c r="CH10" s="41">
        <v>0.68440999999999996</v>
      </c>
      <c r="CI10" s="34">
        <f t="shared" si="23"/>
        <v>1.000009900023203</v>
      </c>
      <c r="CJ10" s="21">
        <f t="shared" si="24"/>
        <v>0.68441677567488035</v>
      </c>
      <c r="CK10" s="5">
        <v>10</v>
      </c>
      <c r="CL10" s="3">
        <v>1.0000000000000001E-5</v>
      </c>
      <c r="CN10" s="5">
        <v>5</v>
      </c>
      <c r="CO10" s="41">
        <v>0.68430000000000002</v>
      </c>
      <c r="CP10" s="34">
        <f t="shared" si="25"/>
        <v>1.0000010799895986</v>
      </c>
      <c r="CQ10" s="21">
        <f t="shared" si="26"/>
        <v>0.68430073903688238</v>
      </c>
      <c r="CR10" s="5">
        <v>10</v>
      </c>
      <c r="CS10" s="3">
        <v>1.0000000000000001E-5</v>
      </c>
      <c r="CU10" s="5">
        <v>5</v>
      </c>
      <c r="CV10" s="41">
        <v>0.68589999999999995</v>
      </c>
      <c r="CW10" s="34">
        <f t="shared" si="27"/>
        <v>1.0000025079950392</v>
      </c>
      <c r="CX10" s="21">
        <f t="shared" si="28"/>
        <v>0.68590172023379736</v>
      </c>
      <c r="CY10" s="5">
        <v>10</v>
      </c>
      <c r="CZ10" s="3">
        <v>0</v>
      </c>
      <c r="DB10" s="5">
        <v>5</v>
      </c>
      <c r="DC10" s="41">
        <v>0.68738999999999995</v>
      </c>
      <c r="DD10" s="34">
        <f t="shared" si="29"/>
        <v>0.99999965198415797</v>
      </c>
      <c r="DE10" s="21">
        <f t="shared" si="30"/>
        <v>0.68738976077739034</v>
      </c>
      <c r="DF10" s="5">
        <v>10</v>
      </c>
      <c r="DG10" s="3">
        <v>1.0000000000000001E-5</v>
      </c>
      <c r="DI10" s="5">
        <v>5</v>
      </c>
      <c r="DJ10" s="41">
        <v>0.68667999999999996</v>
      </c>
      <c r="DK10" s="34">
        <f t="shared" si="31"/>
        <v>1.0000034739987198</v>
      </c>
      <c r="DL10" s="21">
        <f t="shared" si="32"/>
        <v>0.68668238552544092</v>
      </c>
      <c r="DM10" s="5">
        <v>10</v>
      </c>
      <c r="DN10" s="3">
        <v>0</v>
      </c>
      <c r="DP10" s="5">
        <v>5</v>
      </c>
      <c r="DQ10" s="41">
        <v>0.68579000000000001</v>
      </c>
      <c r="DR10" s="34">
        <f t="shared" si="33"/>
        <v>1.0000033479982398</v>
      </c>
      <c r="DS10" s="21">
        <f t="shared" si="34"/>
        <v>0.68579229602371283</v>
      </c>
      <c r="DT10" s="5">
        <v>10</v>
      </c>
      <c r="DU10" s="3">
        <v>1.0000000000000001E-5</v>
      </c>
      <c r="DW10" s="5">
        <v>5</v>
      </c>
      <c r="DX10" s="41">
        <v>0.68689999999999996</v>
      </c>
      <c r="DY10" s="34">
        <f t="shared" si="35"/>
        <v>1.0000043980022402</v>
      </c>
      <c r="DZ10" s="21">
        <f t="shared" si="36"/>
        <v>0.6869030209877387</v>
      </c>
      <c r="EA10" s="5">
        <v>10</v>
      </c>
      <c r="EB10" s="3">
        <v>1.0000000000000001E-5</v>
      </c>
      <c r="ED10" s="5">
        <v>5</v>
      </c>
      <c r="EE10" s="41">
        <v>0.68713000000000002</v>
      </c>
      <c r="EF10" s="34">
        <f t="shared" si="37"/>
        <v>1.0000106560260833</v>
      </c>
      <c r="EG10" s="21">
        <f t="shared" si="38"/>
        <v>0.68713732207520262</v>
      </c>
      <c r="EH10" s="5">
        <v>10</v>
      </c>
      <c r="EI10" s="3">
        <v>1.0000000000000001E-5</v>
      </c>
      <c r="EK10" s="5">
        <v>5</v>
      </c>
      <c r="EL10" s="41">
        <v>0.68659999999999999</v>
      </c>
      <c r="EM10" s="34">
        <f t="shared" si="39"/>
        <v>1.0000063300096012</v>
      </c>
      <c r="EN10" s="21">
        <f t="shared" si="40"/>
        <v>0.6866043461845921</v>
      </c>
      <c r="EO10" s="5">
        <v>10</v>
      </c>
      <c r="EP10" s="3">
        <v>0</v>
      </c>
      <c r="ER10" s="5">
        <v>5</v>
      </c>
      <c r="ES10" s="41">
        <v>0.68633999999999995</v>
      </c>
      <c r="ET10" s="34">
        <f t="shared" si="41"/>
        <v>1.0000117480302437</v>
      </c>
      <c r="EU10" s="21">
        <f t="shared" si="42"/>
        <v>0.68634806314307739</v>
      </c>
      <c r="EV10" s="5">
        <v>10</v>
      </c>
      <c r="EW10" s="3">
        <v>0</v>
      </c>
      <c r="EY10" s="5">
        <v>5</v>
      </c>
      <c r="EZ10" s="41">
        <v>0.68572999999999995</v>
      </c>
      <c r="FA10" s="34">
        <f t="shared" si="43"/>
        <v>1.0000030119969596</v>
      </c>
      <c r="FB10" s="21">
        <f t="shared" si="44"/>
        <v>0.68573206541667509</v>
      </c>
      <c r="FC10" s="5">
        <v>10</v>
      </c>
      <c r="FD10" s="3">
        <v>1.0000000000000001E-5</v>
      </c>
      <c r="FF10" s="5">
        <v>5</v>
      </c>
      <c r="FG10" s="41">
        <v>0.68633999999999995</v>
      </c>
      <c r="FH10" s="34">
        <f t="shared" si="45"/>
        <v>1.0000025919953595</v>
      </c>
      <c r="FI10" s="21">
        <f t="shared" si="46"/>
        <v>0.68634177899009496</v>
      </c>
      <c r="FJ10" s="5">
        <v>10</v>
      </c>
      <c r="FK10" s="3">
        <v>1.0000000000000001E-5</v>
      </c>
      <c r="FM10" s="5">
        <v>5</v>
      </c>
      <c r="FN10" s="41">
        <v>0.68520999999999999</v>
      </c>
      <c r="FO10" s="34">
        <f t="shared" si="47"/>
        <v>1.0000010379894386</v>
      </c>
      <c r="FP10" s="21">
        <f t="shared" si="48"/>
        <v>0.68521071124074318</v>
      </c>
      <c r="FQ10" s="5">
        <v>10</v>
      </c>
      <c r="FR10" s="3">
        <v>0</v>
      </c>
      <c r="FS10" s="15"/>
      <c r="FT10" s="5">
        <v>5</v>
      </c>
      <c r="FU10" s="41">
        <v>0.68683000000000005</v>
      </c>
      <c r="FV10" s="34">
        <f t="shared" si="49"/>
        <v>0.99999931598287772</v>
      </c>
      <c r="FW10" s="21">
        <f t="shared" si="50"/>
        <v>0.68682953019651993</v>
      </c>
      <c r="FX10" s="5">
        <v>10</v>
      </c>
      <c r="FY10" s="3">
        <v>1.0000000000000001E-5</v>
      </c>
      <c r="GA10" s="5">
        <v>5</v>
      </c>
      <c r="GB10" s="41">
        <v>0.68696999999999997</v>
      </c>
      <c r="GC10" s="34">
        <f t="shared" si="51"/>
        <v>1.0000012059900787</v>
      </c>
      <c r="GD10" s="21">
        <f t="shared" si="52"/>
        <v>0.68697082847900437</v>
      </c>
      <c r="GE10" s="5">
        <v>10</v>
      </c>
      <c r="GF10" s="3">
        <v>0</v>
      </c>
      <c r="GH10" s="5">
        <v>5</v>
      </c>
      <c r="GI10" s="41">
        <v>0.68679000000000001</v>
      </c>
      <c r="GJ10" s="34">
        <f t="shared" si="53"/>
        <v>1.0000007019881585</v>
      </c>
      <c r="GK10" s="21">
        <f t="shared" si="54"/>
        <v>0.6867904821184474</v>
      </c>
      <c r="GL10" s="5">
        <v>10</v>
      </c>
      <c r="GM10" s="3">
        <v>1.0000000000000001E-5</v>
      </c>
      <c r="GO10" s="5">
        <v>5</v>
      </c>
      <c r="GP10" s="41">
        <v>0.68600000000000005</v>
      </c>
      <c r="GQ10" s="34">
        <f t="shared" si="55"/>
        <v>0.999999735984478</v>
      </c>
      <c r="GR10" s="21">
        <f t="shared" si="56"/>
        <v>0.685999818885352</v>
      </c>
      <c r="GS10" s="5">
        <v>10</v>
      </c>
      <c r="GT10" s="3">
        <v>0</v>
      </c>
      <c r="GV10" s="5">
        <v>5</v>
      </c>
      <c r="GW10" s="41">
        <v>0.68650999999999995</v>
      </c>
      <c r="GX10" s="34">
        <f t="shared" si="57"/>
        <v>1.0000041670013602</v>
      </c>
      <c r="GY10" s="21">
        <f t="shared" si="58"/>
        <v>0.68651286068810369</v>
      </c>
      <c r="GZ10" s="5">
        <v>10</v>
      </c>
      <c r="HA10" s="3">
        <v>1.0000000000000001E-5</v>
      </c>
      <c r="HC10" s="5">
        <v>5</v>
      </c>
      <c r="HD10" s="41">
        <v>0.68503000000000003</v>
      </c>
      <c r="HE10" s="34">
        <f t="shared" si="59"/>
        <v>1.0000089970197623</v>
      </c>
      <c r="HF10" s="21">
        <f t="shared" si="60"/>
        <v>0.68503616322844785</v>
      </c>
      <c r="HG10" s="5">
        <v>10</v>
      </c>
      <c r="HH10" s="3">
        <v>1.0000000000000001E-5</v>
      </c>
      <c r="HJ10" s="5">
        <v>5</v>
      </c>
      <c r="HK10" s="41">
        <v>0.68542000000000003</v>
      </c>
      <c r="HL10" s="34">
        <f t="shared" si="61"/>
        <v>0.99999992498519807</v>
      </c>
      <c r="HM10" s="21">
        <f t="shared" si="62"/>
        <v>0.68541994858335453</v>
      </c>
      <c r="HN10" s="5">
        <v>10</v>
      </c>
      <c r="HO10" s="3">
        <v>0</v>
      </c>
      <c r="HQ10" s="5">
        <v>5</v>
      </c>
      <c r="HR10" s="41">
        <v>0.68689</v>
      </c>
      <c r="HS10" s="34">
        <f t="shared" si="63"/>
        <v>1.0000073380134415</v>
      </c>
      <c r="HT10" s="21">
        <f t="shared" si="64"/>
        <v>0.68689504040805283</v>
      </c>
      <c r="HU10" s="5">
        <v>10</v>
      </c>
      <c r="HV10" s="3">
        <v>1.0000000000000001E-5</v>
      </c>
    </row>
    <row r="11" spans="1:230" ht="15.75" x14ac:dyDescent="0.25">
      <c r="A11" s="5">
        <v>6</v>
      </c>
      <c r="B11" s="5">
        <v>0.87419000000000002</v>
      </c>
      <c r="C11" s="5">
        <f t="shared" si="2"/>
        <v>1.0000075060140818</v>
      </c>
      <c r="D11" s="8">
        <f t="shared" si="0"/>
        <v>0.87419656168245019</v>
      </c>
      <c r="E11" s="5">
        <v>10</v>
      </c>
      <c r="F11" s="5">
        <v>1.0000000000000001E-5</v>
      </c>
      <c r="H11" s="5">
        <v>6</v>
      </c>
      <c r="I11" s="9">
        <v>0.87255000000000005</v>
      </c>
      <c r="J11" s="5">
        <f t="shared" si="3"/>
        <v>1.000005994008321</v>
      </c>
      <c r="K11" s="21">
        <f t="shared" si="1"/>
        <v>0.87255523007196056</v>
      </c>
      <c r="L11" s="5">
        <v>10</v>
      </c>
      <c r="M11" s="5">
        <v>1.0000000000000001E-5</v>
      </c>
      <c r="O11" s="5">
        <v>6</v>
      </c>
      <c r="P11" s="9">
        <v>0.87151999999999996</v>
      </c>
      <c r="Q11" s="5">
        <f t="shared" si="4"/>
        <v>1.0000073380134415</v>
      </c>
      <c r="R11" s="21">
        <f t="shared" ref="R11" si="66">P11*Q11</f>
        <v>0.87152639522547459</v>
      </c>
      <c r="S11" s="5">
        <v>10</v>
      </c>
      <c r="T11" s="5"/>
      <c r="V11" s="5">
        <v>6</v>
      </c>
      <c r="W11" s="9">
        <v>0.86838000000000004</v>
      </c>
      <c r="X11" s="5">
        <f t="shared" si="6"/>
        <v>1.0000073380134415</v>
      </c>
      <c r="Y11" s="21">
        <f t="shared" ref="Y11" si="67">W11*X11</f>
        <v>0.86838637218411241</v>
      </c>
      <c r="Z11" s="5">
        <v>10</v>
      </c>
      <c r="AA11" s="5">
        <v>0</v>
      </c>
      <c r="AC11" s="5">
        <v>6</v>
      </c>
      <c r="AD11" s="9">
        <v>0.87117999999999995</v>
      </c>
      <c r="AE11" s="5">
        <f t="shared" si="8"/>
        <v>1.0000035579990398</v>
      </c>
      <c r="AF11" s="21">
        <f t="shared" ref="AF11" si="68">AD11*AE11</f>
        <v>0.87118309965760343</v>
      </c>
      <c r="AG11" s="5">
        <v>10</v>
      </c>
      <c r="AH11" s="5"/>
      <c r="AJ11" s="5">
        <v>6</v>
      </c>
      <c r="AK11" s="9">
        <v>0.87183999999999995</v>
      </c>
      <c r="AL11" s="5">
        <f t="shared" si="10"/>
        <v>1.0000119580310438</v>
      </c>
      <c r="AM11" s="21">
        <f>AK11*AL11</f>
        <v>0.8718504254897852</v>
      </c>
      <c r="AN11" s="5">
        <v>10</v>
      </c>
      <c r="AO11" s="5"/>
      <c r="AQ11" s="5">
        <v>6</v>
      </c>
      <c r="AR11" s="9">
        <v>0.87343000000000004</v>
      </c>
      <c r="AS11" s="34">
        <f t="shared" si="12"/>
        <v>1.0000006179878385</v>
      </c>
      <c r="AT11" s="21">
        <f>AR11*AS11</f>
        <v>0.87343053976911778</v>
      </c>
      <c r="AU11" s="5">
        <v>10</v>
      </c>
      <c r="AV11" s="5">
        <v>1.0000000000000001E-5</v>
      </c>
      <c r="AX11" s="5">
        <v>6</v>
      </c>
      <c r="AY11" s="9">
        <v>0.87266999999999995</v>
      </c>
      <c r="AZ11" s="34">
        <f t="shared" si="14"/>
        <v>1.0000011219897587</v>
      </c>
      <c r="BA11" s="21">
        <f>AY11*AZ11</f>
        <v>0.87267097912680258</v>
      </c>
      <c r="BB11" s="5">
        <v>10</v>
      </c>
      <c r="BC11" s="5">
        <v>0</v>
      </c>
      <c r="BE11" s="5">
        <v>6</v>
      </c>
      <c r="BF11" s="9">
        <v>0.87458999999999998</v>
      </c>
      <c r="BG11" s="34">
        <f t="shared" si="16"/>
        <v>1.0000064140099212</v>
      </c>
      <c r="BH11" s="21">
        <f>BF11*BG11</f>
        <v>0.8745956096289369</v>
      </c>
      <c r="BI11" s="5">
        <v>10</v>
      </c>
      <c r="BJ11" s="5">
        <v>1.0000000000000001E-5</v>
      </c>
      <c r="BL11" s="5">
        <v>6</v>
      </c>
      <c r="BM11" s="3">
        <v>0.87129000000000001</v>
      </c>
      <c r="BN11" s="34">
        <f t="shared" si="18"/>
        <v>1.0000033479982398</v>
      </c>
      <c r="BO11" s="21">
        <f t="shared" si="19"/>
        <v>0.87129291707738632</v>
      </c>
      <c r="BP11" s="5">
        <v>10</v>
      </c>
      <c r="BQ11" s="3">
        <v>1.0000000000000001E-5</v>
      </c>
      <c r="BS11" s="5">
        <v>6</v>
      </c>
      <c r="BT11" s="3">
        <v>0.87165999999999999</v>
      </c>
      <c r="BU11" s="34">
        <f t="shared" si="65"/>
        <v>1.0000107400264033</v>
      </c>
      <c r="BV11" s="21">
        <f t="shared" si="20"/>
        <v>0.87166936165141473</v>
      </c>
      <c r="BW11" s="5">
        <v>10</v>
      </c>
      <c r="BX11" s="3">
        <v>1.0000000000000001E-5</v>
      </c>
      <c r="BZ11" s="5">
        <v>6</v>
      </c>
      <c r="CA11" s="41">
        <v>0.87058999999999997</v>
      </c>
      <c r="CB11" s="34">
        <f t="shared" si="21"/>
        <v>1.0000057420073609</v>
      </c>
      <c r="CC11" s="21">
        <f t="shared" si="22"/>
        <v>0.87059499893418835</v>
      </c>
      <c r="CD11" s="5">
        <v>10</v>
      </c>
      <c r="CE11" s="41">
        <v>1.0000000000000001E-5</v>
      </c>
      <c r="CG11" s="5">
        <v>6</v>
      </c>
      <c r="CH11" s="41">
        <v>0.87051999999999996</v>
      </c>
      <c r="CI11" s="34">
        <f t="shared" si="23"/>
        <v>1.000009900023203</v>
      </c>
      <c r="CJ11" s="21">
        <f t="shared" si="24"/>
        <v>0.8705286181681986</v>
      </c>
      <c r="CK11" s="5">
        <v>10</v>
      </c>
      <c r="CL11" s="3">
        <v>1.0000000000000001E-5</v>
      </c>
      <c r="CN11" s="5">
        <v>6</v>
      </c>
      <c r="CO11" s="41">
        <v>0.87036999999999998</v>
      </c>
      <c r="CP11" s="34">
        <f t="shared" si="25"/>
        <v>1.0000010799895986</v>
      </c>
      <c r="CQ11" s="21">
        <f t="shared" si="26"/>
        <v>0.87037093999054693</v>
      </c>
      <c r="CR11" s="5">
        <v>10</v>
      </c>
      <c r="CS11" s="3">
        <v>1.0000000000000001E-5</v>
      </c>
      <c r="CU11" s="5">
        <v>6</v>
      </c>
      <c r="CV11" s="41">
        <v>0.87192999999999998</v>
      </c>
      <c r="CW11" s="34">
        <f t="shared" si="27"/>
        <v>1.0000025079950392</v>
      </c>
      <c r="CX11" s="21">
        <f t="shared" si="28"/>
        <v>0.87193218679611451</v>
      </c>
      <c r="CY11" s="5">
        <v>10</v>
      </c>
      <c r="CZ11" s="3">
        <v>1.0000000000000001E-5</v>
      </c>
      <c r="DB11" s="5">
        <v>6</v>
      </c>
      <c r="DC11" s="41">
        <v>0.87348000000000003</v>
      </c>
      <c r="DD11" s="34">
        <f t="shared" si="29"/>
        <v>0.99999965198415797</v>
      </c>
      <c r="DE11" s="21">
        <f t="shared" si="30"/>
        <v>0.87347969601512232</v>
      </c>
      <c r="DF11" s="5">
        <v>10</v>
      </c>
      <c r="DG11" s="3">
        <v>0</v>
      </c>
      <c r="DI11" s="5">
        <v>6</v>
      </c>
      <c r="DJ11" s="41">
        <v>0.87277000000000005</v>
      </c>
      <c r="DK11" s="34">
        <f t="shared" si="31"/>
        <v>1.0000034739987198</v>
      </c>
      <c r="DL11" s="21">
        <f t="shared" si="32"/>
        <v>0.87277303200186274</v>
      </c>
      <c r="DM11" s="5">
        <v>10</v>
      </c>
      <c r="DN11" s="3">
        <v>0</v>
      </c>
      <c r="DP11" s="5">
        <v>6</v>
      </c>
      <c r="DQ11" s="41">
        <v>0.87183999999999995</v>
      </c>
      <c r="DR11" s="34">
        <f t="shared" si="33"/>
        <v>1.0000033479982398</v>
      </c>
      <c r="DS11" s="21">
        <f t="shared" si="34"/>
        <v>0.87184291891878529</v>
      </c>
      <c r="DT11" s="5">
        <v>10</v>
      </c>
      <c r="DU11" s="3">
        <v>1.0000000000000001E-5</v>
      </c>
      <c r="DW11" s="5">
        <v>6</v>
      </c>
      <c r="DX11" s="41">
        <v>0.87297999999999998</v>
      </c>
      <c r="DY11" s="34">
        <f t="shared" si="35"/>
        <v>1.0000043980022402</v>
      </c>
      <c r="DZ11" s="21">
        <f t="shared" si="36"/>
        <v>0.87298383936799562</v>
      </c>
      <c r="EA11" s="5">
        <v>10</v>
      </c>
      <c r="EB11" s="3">
        <v>1.0000000000000001E-5</v>
      </c>
      <c r="ED11" s="5">
        <v>6</v>
      </c>
      <c r="EE11" s="41">
        <v>0.87324000000000002</v>
      </c>
      <c r="EF11" s="34">
        <f t="shared" si="37"/>
        <v>1.0000106560260833</v>
      </c>
      <c r="EG11" s="21">
        <f t="shared" si="38"/>
        <v>0.87324930526821698</v>
      </c>
      <c r="EH11" s="5">
        <v>10</v>
      </c>
      <c r="EI11" s="3">
        <v>1.0000000000000001E-5</v>
      </c>
      <c r="EK11" s="5">
        <v>6</v>
      </c>
      <c r="EL11" s="41">
        <v>0.87268999999999997</v>
      </c>
      <c r="EM11" s="34">
        <f t="shared" si="39"/>
        <v>1.0000063300096012</v>
      </c>
      <c r="EN11" s="21">
        <f t="shared" si="40"/>
        <v>0.87269552413607876</v>
      </c>
      <c r="EO11" s="5">
        <v>10</v>
      </c>
      <c r="EP11" s="3">
        <v>0</v>
      </c>
      <c r="ER11" s="5">
        <v>6</v>
      </c>
      <c r="ES11" s="41">
        <v>0.87238000000000004</v>
      </c>
      <c r="ET11" s="34">
        <f t="shared" si="41"/>
        <v>1.0000117480302437</v>
      </c>
      <c r="EU11" s="21">
        <f t="shared" si="42"/>
        <v>0.87239024874662408</v>
      </c>
      <c r="EV11" s="5">
        <v>10</v>
      </c>
      <c r="EW11" s="3">
        <v>0</v>
      </c>
      <c r="EY11" s="5">
        <v>6</v>
      </c>
      <c r="EZ11" s="41">
        <v>0.87178999999999995</v>
      </c>
      <c r="FA11" s="34">
        <f t="shared" si="43"/>
        <v>1.0000030119969596</v>
      </c>
      <c r="FB11" s="21">
        <f t="shared" si="44"/>
        <v>0.87179262582882944</v>
      </c>
      <c r="FC11" s="5">
        <v>10</v>
      </c>
      <c r="FD11" s="3">
        <v>0</v>
      </c>
      <c r="FF11" s="5">
        <v>6</v>
      </c>
      <c r="FG11" s="41">
        <v>0.87239999999999995</v>
      </c>
      <c r="FH11" s="34">
        <f t="shared" si="45"/>
        <v>1.0000025919953595</v>
      </c>
      <c r="FI11" s="21">
        <f t="shared" si="46"/>
        <v>0.87240226125675158</v>
      </c>
      <c r="FJ11" s="5">
        <v>10</v>
      </c>
      <c r="FK11" s="3">
        <v>1.0000000000000001E-5</v>
      </c>
      <c r="FM11" s="5">
        <v>6</v>
      </c>
      <c r="FN11" s="41">
        <v>0.87129000000000001</v>
      </c>
      <c r="FO11" s="34">
        <f t="shared" si="47"/>
        <v>1.0000010379894386</v>
      </c>
      <c r="FP11" s="21">
        <f t="shared" si="48"/>
        <v>0.87129090438981793</v>
      </c>
      <c r="FQ11" s="5">
        <v>10</v>
      </c>
      <c r="FR11" s="3">
        <v>0</v>
      </c>
      <c r="FS11" s="15"/>
      <c r="FT11" s="5">
        <v>6</v>
      </c>
      <c r="FU11" s="41">
        <v>0.87282999999999999</v>
      </c>
      <c r="FV11" s="34">
        <f t="shared" si="49"/>
        <v>0.99999931598287772</v>
      </c>
      <c r="FW11" s="21">
        <f t="shared" si="50"/>
        <v>0.8728294029693352</v>
      </c>
      <c r="FX11" s="5">
        <v>10</v>
      </c>
      <c r="FY11" s="3">
        <v>0</v>
      </c>
      <c r="GA11" s="5">
        <v>6</v>
      </c>
      <c r="GB11" s="41">
        <v>0.87305999999999995</v>
      </c>
      <c r="GC11" s="34">
        <f t="shared" si="51"/>
        <v>1.0000012059900787</v>
      </c>
      <c r="GD11" s="21">
        <f t="shared" si="52"/>
        <v>0.873061052901698</v>
      </c>
      <c r="GE11" s="5">
        <v>10</v>
      </c>
      <c r="GF11" s="3">
        <v>0</v>
      </c>
      <c r="GH11" s="5">
        <v>6</v>
      </c>
      <c r="GI11" s="41">
        <v>0.87285000000000001</v>
      </c>
      <c r="GJ11" s="34">
        <f t="shared" si="53"/>
        <v>1.0000007019881585</v>
      </c>
      <c r="GK11" s="21">
        <f t="shared" si="54"/>
        <v>0.87285061273036413</v>
      </c>
      <c r="GL11" s="5">
        <v>10</v>
      </c>
      <c r="GM11" s="3">
        <v>1.0000000000000001E-5</v>
      </c>
      <c r="GO11" s="5">
        <v>6</v>
      </c>
      <c r="GP11" s="41">
        <v>0.87205999999999995</v>
      </c>
      <c r="GQ11" s="34">
        <f t="shared" si="55"/>
        <v>0.999999735984478</v>
      </c>
      <c r="GR11" s="21">
        <f t="shared" si="56"/>
        <v>0.87205976976262378</v>
      </c>
      <c r="GS11" s="5">
        <v>10</v>
      </c>
      <c r="GT11" s="3">
        <v>1.0000000000000001E-5</v>
      </c>
      <c r="GV11" s="5">
        <v>6</v>
      </c>
      <c r="GW11" s="41">
        <v>0.87260000000000004</v>
      </c>
      <c r="GX11" s="34">
        <f t="shared" si="57"/>
        <v>1.0000041670013602</v>
      </c>
      <c r="GY11" s="21">
        <f t="shared" si="58"/>
        <v>0.87260363612538694</v>
      </c>
      <c r="GZ11" s="5">
        <v>10</v>
      </c>
      <c r="HA11" s="3">
        <v>1.0000000000000001E-5</v>
      </c>
      <c r="HC11" s="5">
        <v>6</v>
      </c>
      <c r="HD11" s="41">
        <v>0.87107000000000001</v>
      </c>
      <c r="HE11" s="34">
        <f t="shared" si="59"/>
        <v>1.0000089970197623</v>
      </c>
      <c r="HF11" s="21">
        <f t="shared" si="60"/>
        <v>0.87107783703400432</v>
      </c>
      <c r="HG11" s="5">
        <v>10</v>
      </c>
      <c r="HH11" s="3">
        <v>1.0000000000000001E-5</v>
      </c>
      <c r="HJ11" s="5">
        <v>6</v>
      </c>
      <c r="HK11" s="41">
        <v>0.87150000000000005</v>
      </c>
      <c r="HL11" s="34">
        <f t="shared" si="61"/>
        <v>0.99999992498519807</v>
      </c>
      <c r="HM11" s="21">
        <f t="shared" si="62"/>
        <v>0.87149993462460018</v>
      </c>
      <c r="HN11" s="5">
        <v>10</v>
      </c>
      <c r="HO11" s="3">
        <v>0</v>
      </c>
      <c r="HQ11" s="5">
        <v>6</v>
      </c>
      <c r="HR11" s="41">
        <v>0.87297000000000002</v>
      </c>
      <c r="HS11" s="34">
        <f t="shared" si="63"/>
        <v>1.0000073380134415</v>
      </c>
      <c r="HT11" s="21">
        <f t="shared" si="64"/>
        <v>0.87297640586559411</v>
      </c>
      <c r="HU11" s="5">
        <v>10</v>
      </c>
      <c r="HV11" s="3">
        <v>1.0000000000000001E-5</v>
      </c>
    </row>
    <row r="12" spans="1:230" ht="15.75" x14ac:dyDescent="0.25">
      <c r="A12" s="5">
        <v>7</v>
      </c>
      <c r="B12" s="5">
        <v>1.07389</v>
      </c>
      <c r="C12" s="5">
        <f t="shared" si="2"/>
        <v>1.0000075060140818</v>
      </c>
      <c r="D12" s="8">
        <f t="shared" si="0"/>
        <v>1.0738980606334623</v>
      </c>
      <c r="E12" s="5">
        <v>10</v>
      </c>
      <c r="F12" s="5">
        <v>1.0000000000000001E-5</v>
      </c>
      <c r="H12" s="5">
        <v>7</v>
      </c>
      <c r="I12" s="9">
        <v>1.0723</v>
      </c>
      <c r="J12" s="5">
        <f t="shared" si="3"/>
        <v>1.000005994008321</v>
      </c>
      <c r="K12" s="21">
        <f>I12*J12</f>
        <v>1.0723064273751226</v>
      </c>
      <c r="L12" s="5">
        <v>10</v>
      </c>
      <c r="M12" s="5">
        <v>1.0000000000000001E-5</v>
      </c>
      <c r="O12" s="5">
        <v>7</v>
      </c>
      <c r="P12" s="9">
        <v>1.07131</v>
      </c>
      <c r="Q12" s="5">
        <f t="shared" si="4"/>
        <v>1.0000073380134415</v>
      </c>
      <c r="R12" s="21">
        <f>P12*Q12</f>
        <v>1.0713178612871801</v>
      </c>
      <c r="S12" s="5">
        <v>10</v>
      </c>
      <c r="T12" s="5"/>
      <c r="V12" s="5">
        <v>7</v>
      </c>
      <c r="W12" s="9">
        <v>1.0681400000000001</v>
      </c>
      <c r="X12" s="5">
        <f t="shared" si="6"/>
        <v>1.0000073380134415</v>
      </c>
      <c r="Y12" s="21">
        <f>W12*X12</f>
        <v>1.0681478380256775</v>
      </c>
      <c r="Z12" s="5">
        <v>10</v>
      </c>
      <c r="AA12" s="5">
        <v>1.0000000000000001E-5</v>
      </c>
      <c r="AC12" s="5">
        <v>7</v>
      </c>
      <c r="AD12" s="9">
        <v>1.07091</v>
      </c>
      <c r="AE12" s="5">
        <f t="shared" si="8"/>
        <v>1.0000035579990398</v>
      </c>
      <c r="AF12" s="21">
        <f>AD12*AE12</f>
        <v>1.0709138102967517</v>
      </c>
      <c r="AG12" s="5">
        <v>10</v>
      </c>
      <c r="AH12" s="5"/>
      <c r="AJ12" s="5">
        <v>7</v>
      </c>
      <c r="AK12" s="9">
        <v>1.0716300000000001</v>
      </c>
      <c r="AL12" s="5">
        <f t="shared" si="10"/>
        <v>1.0000119580310438</v>
      </c>
      <c r="AM12" s="21">
        <f>AK12*AL12</f>
        <v>1.0716428145848076</v>
      </c>
      <c r="AN12" s="5">
        <v>10</v>
      </c>
      <c r="AO12" s="5"/>
      <c r="AQ12" s="5">
        <v>7</v>
      </c>
      <c r="AR12" s="9">
        <v>1.07317</v>
      </c>
      <c r="AS12" s="34">
        <f t="shared" si="12"/>
        <v>1.0000006179878385</v>
      </c>
      <c r="AT12" s="21">
        <f>AR12*AS12</f>
        <v>1.0731706632060085</v>
      </c>
      <c r="AU12" s="5">
        <v>10</v>
      </c>
      <c r="AV12" s="5">
        <v>1.0000000000000001E-5</v>
      </c>
      <c r="AX12" s="5">
        <v>7</v>
      </c>
      <c r="AY12" s="9">
        <v>1.0724199999999999</v>
      </c>
      <c r="AZ12" s="34">
        <f t="shared" si="14"/>
        <v>1.0000011219897587</v>
      </c>
      <c r="BA12" s="21">
        <f>AY12*AZ12</f>
        <v>1.0724212032442568</v>
      </c>
      <c r="BB12" s="5">
        <v>10</v>
      </c>
      <c r="BC12" s="5">
        <v>1.0000000000000001E-5</v>
      </c>
      <c r="BE12" s="5">
        <v>7</v>
      </c>
      <c r="BF12" s="9">
        <v>1.07426</v>
      </c>
      <c r="BG12" s="34">
        <f t="shared" si="16"/>
        <v>1.0000064140099212</v>
      </c>
      <c r="BH12" s="21">
        <f>BF12*BG12</f>
        <v>1.074266890314298</v>
      </c>
      <c r="BI12" s="5">
        <v>10</v>
      </c>
      <c r="BJ12" s="5">
        <v>1.0000000000000001E-5</v>
      </c>
      <c r="BL12" s="5">
        <v>7</v>
      </c>
      <c r="BM12" s="3">
        <v>1.0710900000000001</v>
      </c>
      <c r="BN12" s="34">
        <f t="shared" si="18"/>
        <v>1.0000033479982398</v>
      </c>
      <c r="BO12" s="21">
        <f t="shared" si="19"/>
        <v>1.0710935860074347</v>
      </c>
      <c r="BP12" s="5">
        <v>10</v>
      </c>
      <c r="BQ12" s="3">
        <v>1.0000000000000001E-5</v>
      </c>
      <c r="BS12" s="5">
        <v>7</v>
      </c>
      <c r="BT12" s="3">
        <v>1.0714399999999999</v>
      </c>
      <c r="BU12" s="34">
        <f t="shared" si="65"/>
        <v>1.0000107400264033</v>
      </c>
      <c r="BV12" s="21">
        <f t="shared" si="20"/>
        <v>1.0714515072938895</v>
      </c>
      <c r="BW12" s="5">
        <v>10</v>
      </c>
      <c r="BX12" s="3">
        <v>1.0000000000000001E-5</v>
      </c>
      <c r="BZ12" s="5">
        <v>7</v>
      </c>
      <c r="CA12" s="41">
        <v>1.0703400000000001</v>
      </c>
      <c r="CB12" s="34">
        <f t="shared" si="21"/>
        <v>1.0000057420073609</v>
      </c>
      <c r="CC12" s="21">
        <f t="shared" si="22"/>
        <v>1.0703461459001589</v>
      </c>
      <c r="CD12" s="5">
        <v>10</v>
      </c>
      <c r="CE12" s="41">
        <v>1.0000000000000001E-5</v>
      </c>
      <c r="CG12" s="5">
        <v>7</v>
      </c>
      <c r="CH12" s="41">
        <v>1.0702499999999999</v>
      </c>
      <c r="CI12" s="34">
        <f t="shared" si="23"/>
        <v>1.000009900023203</v>
      </c>
      <c r="CJ12" s="21">
        <f t="shared" si="24"/>
        <v>1.070260595499833</v>
      </c>
      <c r="CK12" s="5">
        <v>10</v>
      </c>
      <c r="CL12" s="3">
        <v>0</v>
      </c>
      <c r="CN12" s="5">
        <v>7</v>
      </c>
      <c r="CO12" s="41">
        <v>1.0700799999999999</v>
      </c>
      <c r="CP12" s="34">
        <f t="shared" si="25"/>
        <v>1.0000010799895986</v>
      </c>
      <c r="CQ12" s="21">
        <f t="shared" si="26"/>
        <v>1.0700811556752696</v>
      </c>
      <c r="CR12" s="5">
        <v>10</v>
      </c>
      <c r="CS12" s="3">
        <v>1.0000000000000001E-5</v>
      </c>
      <c r="CU12" s="5">
        <v>7</v>
      </c>
      <c r="CV12" s="41">
        <v>1.0717699999999999</v>
      </c>
      <c r="CW12" s="34">
        <f t="shared" si="27"/>
        <v>1.0000025079950392</v>
      </c>
      <c r="CX12" s="21">
        <f t="shared" si="28"/>
        <v>1.071772687993843</v>
      </c>
      <c r="CY12" s="5">
        <v>10</v>
      </c>
      <c r="CZ12" s="3">
        <v>0</v>
      </c>
      <c r="DB12" s="5">
        <v>7</v>
      </c>
      <c r="DC12" s="41">
        <v>1.0731999999999999</v>
      </c>
      <c r="DD12" s="34">
        <f t="shared" si="29"/>
        <v>0.99999965198415797</v>
      </c>
      <c r="DE12" s="21">
        <f t="shared" si="30"/>
        <v>1.0731996265093982</v>
      </c>
      <c r="DF12" s="5">
        <v>10</v>
      </c>
      <c r="DG12" s="3">
        <v>0</v>
      </c>
      <c r="DI12" s="5">
        <v>7</v>
      </c>
      <c r="DJ12" s="41">
        <v>1.07247</v>
      </c>
      <c r="DK12" s="34">
        <f t="shared" si="31"/>
        <v>1.0000034739987198</v>
      </c>
      <c r="DL12" s="21">
        <f t="shared" si="32"/>
        <v>1.072473725759407</v>
      </c>
      <c r="DM12" s="5">
        <v>10</v>
      </c>
      <c r="DN12" s="3">
        <v>0</v>
      </c>
      <c r="DP12" s="5">
        <v>7</v>
      </c>
      <c r="DQ12" s="41">
        <v>1.07152</v>
      </c>
      <c r="DR12" s="34">
        <f t="shared" si="33"/>
        <v>1.0000033479982398</v>
      </c>
      <c r="DS12" s="21">
        <f t="shared" si="34"/>
        <v>1.0715235874470739</v>
      </c>
      <c r="DT12" s="5">
        <v>10</v>
      </c>
      <c r="DU12" s="3">
        <v>1.0000000000000001E-5</v>
      </c>
      <c r="DW12" s="5">
        <v>7</v>
      </c>
      <c r="DX12" s="41">
        <v>1.0727199999999999</v>
      </c>
      <c r="DY12" s="34">
        <f t="shared" si="35"/>
        <v>1.0000043980022402</v>
      </c>
      <c r="DZ12" s="21">
        <f t="shared" si="36"/>
        <v>1.072724717824963</v>
      </c>
      <c r="EA12" s="5">
        <v>10</v>
      </c>
      <c r="EB12" s="3">
        <v>2.0000000000000002E-5</v>
      </c>
      <c r="ED12" s="5">
        <v>7</v>
      </c>
      <c r="EE12" s="41">
        <v>1.0729900000000001</v>
      </c>
      <c r="EF12" s="34">
        <f t="shared" si="37"/>
        <v>1.0000106560260833</v>
      </c>
      <c r="EG12" s="21">
        <f t="shared" si="38"/>
        <v>1.0730014338094271</v>
      </c>
      <c r="EH12" s="5">
        <v>10</v>
      </c>
      <c r="EI12" s="3">
        <v>1.0000000000000001E-5</v>
      </c>
      <c r="EK12" s="5">
        <v>7</v>
      </c>
      <c r="EL12" s="41">
        <v>1.0724400000000001</v>
      </c>
      <c r="EM12" s="34">
        <f t="shared" si="39"/>
        <v>1.0000063300096012</v>
      </c>
      <c r="EN12" s="21">
        <f t="shared" si="40"/>
        <v>1.0724467885554967</v>
      </c>
      <c r="EO12" s="5">
        <v>10</v>
      </c>
      <c r="EP12" s="3">
        <v>0</v>
      </c>
      <c r="ER12" s="5">
        <v>7</v>
      </c>
      <c r="ES12" s="41">
        <v>1.0721499999999999</v>
      </c>
      <c r="ET12" s="34">
        <f t="shared" si="41"/>
        <v>1.0000117480302437</v>
      </c>
      <c r="EU12" s="21">
        <f t="shared" si="42"/>
        <v>1.0721625956506258</v>
      </c>
      <c r="EV12" s="5">
        <v>10</v>
      </c>
      <c r="EW12" s="3">
        <v>0</v>
      </c>
      <c r="EY12" s="5">
        <v>7</v>
      </c>
      <c r="EZ12" s="41">
        <v>1.07155</v>
      </c>
      <c r="FA12" s="34">
        <f t="shared" si="43"/>
        <v>1.0000030119969596</v>
      </c>
      <c r="FB12" s="21">
        <f t="shared" si="44"/>
        <v>1.0715532275053421</v>
      </c>
      <c r="FC12" s="5">
        <v>10</v>
      </c>
      <c r="FD12" s="3">
        <v>1.0000000000000001E-5</v>
      </c>
      <c r="FF12" s="5">
        <v>7</v>
      </c>
      <c r="FG12" s="41">
        <v>1.0721700000000001</v>
      </c>
      <c r="FH12" s="34">
        <f t="shared" si="45"/>
        <v>1.0000025919953595</v>
      </c>
      <c r="FI12" s="21">
        <f t="shared" si="46"/>
        <v>1.0721727790596647</v>
      </c>
      <c r="FJ12" s="5">
        <v>10</v>
      </c>
      <c r="FK12" s="3">
        <v>0</v>
      </c>
      <c r="FM12" s="5">
        <v>7</v>
      </c>
      <c r="FN12" s="41">
        <v>1.0710299999999999</v>
      </c>
      <c r="FO12" s="34">
        <f t="shared" si="47"/>
        <v>1.0000010379894386</v>
      </c>
      <c r="FP12" s="21">
        <f t="shared" si="48"/>
        <v>1.0710311117178284</v>
      </c>
      <c r="FQ12" s="5">
        <v>10</v>
      </c>
      <c r="FR12" s="3">
        <v>0</v>
      </c>
      <c r="FS12" s="15"/>
      <c r="FT12" s="5">
        <v>7</v>
      </c>
      <c r="FU12" s="41">
        <v>1.0725499999999999</v>
      </c>
      <c r="FV12" s="34">
        <f t="shared" si="49"/>
        <v>0.99999931598287772</v>
      </c>
      <c r="FW12" s="21">
        <f t="shared" si="50"/>
        <v>1.0725492663574354</v>
      </c>
      <c r="FX12" s="5">
        <v>10</v>
      </c>
      <c r="FY12" s="3">
        <v>0</v>
      </c>
      <c r="GA12" s="5">
        <v>7</v>
      </c>
      <c r="GB12" s="41">
        <v>1.0727500000000001</v>
      </c>
      <c r="GC12" s="34">
        <f t="shared" si="51"/>
        <v>1.0000012059900787</v>
      </c>
      <c r="GD12" s="21">
        <f t="shared" si="52"/>
        <v>1.072751293725857</v>
      </c>
      <c r="GE12" s="5">
        <v>10</v>
      </c>
      <c r="GF12" s="3">
        <v>0</v>
      </c>
      <c r="GH12" s="5">
        <v>7</v>
      </c>
      <c r="GI12" s="41">
        <v>1.07254</v>
      </c>
      <c r="GJ12" s="34">
        <f t="shared" si="53"/>
        <v>1.0000007019881585</v>
      </c>
      <c r="GK12" s="21">
        <f t="shared" si="54"/>
        <v>1.0725407529103796</v>
      </c>
      <c r="GL12" s="5">
        <v>10</v>
      </c>
      <c r="GM12" s="3">
        <v>1.0000000000000001E-5</v>
      </c>
      <c r="GO12" s="5">
        <v>7</v>
      </c>
      <c r="GP12" s="41">
        <v>1.07179</v>
      </c>
      <c r="GQ12" s="34">
        <f t="shared" si="55"/>
        <v>0.999999735984478</v>
      </c>
      <c r="GR12" s="21">
        <f t="shared" si="56"/>
        <v>1.0717897170308037</v>
      </c>
      <c r="GS12" s="5">
        <v>10</v>
      </c>
      <c r="GT12" s="3">
        <v>1.0000000000000001E-5</v>
      </c>
      <c r="GV12" s="5">
        <v>7</v>
      </c>
      <c r="GW12" s="41">
        <v>1.0723100000000001</v>
      </c>
      <c r="GX12" s="34">
        <f t="shared" si="57"/>
        <v>1.0000041670013602</v>
      </c>
      <c r="GY12" s="21">
        <f t="shared" si="58"/>
        <v>1.0723144683172285</v>
      </c>
      <c r="GZ12" s="5">
        <v>10</v>
      </c>
      <c r="HA12" s="3">
        <v>1.0000000000000001E-5</v>
      </c>
      <c r="HC12" s="5">
        <v>7</v>
      </c>
      <c r="HD12" s="41">
        <v>1.0708599999999999</v>
      </c>
      <c r="HE12" s="34">
        <f t="shared" si="59"/>
        <v>1.0000089970197623</v>
      </c>
      <c r="HF12" s="21">
        <f t="shared" si="60"/>
        <v>1.0708696345485826</v>
      </c>
      <c r="HG12" s="5">
        <v>10</v>
      </c>
      <c r="HH12" s="3">
        <v>1.0000000000000001E-5</v>
      </c>
      <c r="HJ12" s="5">
        <v>7</v>
      </c>
      <c r="HK12" s="41">
        <v>1.0712299999999999</v>
      </c>
      <c r="HL12" s="34">
        <f t="shared" si="61"/>
        <v>0.99999992498519807</v>
      </c>
      <c r="HM12" s="21">
        <f t="shared" si="62"/>
        <v>1.0712299196418937</v>
      </c>
      <c r="HN12" s="5">
        <v>10</v>
      </c>
      <c r="HO12" s="3">
        <v>0</v>
      </c>
      <c r="HQ12" s="5">
        <v>7</v>
      </c>
      <c r="HR12" s="41">
        <v>1.0727</v>
      </c>
      <c r="HS12" s="34">
        <f t="shared" si="63"/>
        <v>1.0000073380134415</v>
      </c>
      <c r="HT12" s="21">
        <f t="shared" si="64"/>
        <v>1.0727078714870186</v>
      </c>
      <c r="HU12" s="5">
        <v>10</v>
      </c>
      <c r="HV12" s="3">
        <v>1.0000000000000001E-5</v>
      </c>
    </row>
    <row r="13" spans="1:230" ht="15.75" x14ac:dyDescent="0.25">
      <c r="A13" s="5">
        <v>8</v>
      </c>
      <c r="B13" s="5">
        <v>1.2789299999999999</v>
      </c>
      <c r="C13" s="5">
        <f t="shared" si="2"/>
        <v>1.0000075060140818</v>
      </c>
      <c r="D13" s="8">
        <f t="shared" si="0"/>
        <v>1.2789395996665895</v>
      </c>
      <c r="E13" s="5">
        <v>10</v>
      </c>
      <c r="F13" s="5">
        <v>2.0000000000000002E-5</v>
      </c>
      <c r="H13" s="5">
        <v>8</v>
      </c>
      <c r="I13" s="9">
        <v>1.2773600000000001</v>
      </c>
      <c r="J13" s="5">
        <f t="shared" si="3"/>
        <v>1.000005994008321</v>
      </c>
      <c r="K13" s="21">
        <f t="shared" si="1"/>
        <v>1.2773676565064689</v>
      </c>
      <c r="L13" s="5">
        <v>10</v>
      </c>
      <c r="M13" s="9">
        <v>0</v>
      </c>
      <c r="O13" s="5">
        <v>8</v>
      </c>
      <c r="P13" s="9">
        <v>1.2762899999999999</v>
      </c>
      <c r="Q13" s="5">
        <f t="shared" si="4"/>
        <v>1.0000073380134415</v>
      </c>
      <c r="R13" s="21">
        <f t="shared" ref="R13:R20" si="69">P13*Q13</f>
        <v>1.2762993654331753</v>
      </c>
      <c r="S13" s="5">
        <v>10</v>
      </c>
      <c r="T13" s="9"/>
      <c r="V13" s="5">
        <v>8</v>
      </c>
      <c r="W13" s="9">
        <v>1.2731300000000001</v>
      </c>
      <c r="X13" s="5">
        <f t="shared" si="6"/>
        <v>1.0000073380134415</v>
      </c>
      <c r="Y13" s="21">
        <f t="shared" ref="Y13:Y20" si="70">W13*X13</f>
        <v>1.273139342245053</v>
      </c>
      <c r="Z13" s="5">
        <v>10</v>
      </c>
      <c r="AA13" s="9">
        <v>1.0000000000000001E-5</v>
      </c>
      <c r="AC13" s="5">
        <v>8</v>
      </c>
      <c r="AD13" s="9">
        <v>1.2759499999999999</v>
      </c>
      <c r="AE13" s="5">
        <f t="shared" si="8"/>
        <v>1.0000035579990398</v>
      </c>
      <c r="AF13" s="21">
        <f t="shared" ref="AF13:AF20" si="71">AD13*AE13</f>
        <v>1.2759545398288747</v>
      </c>
      <c r="AG13" s="5">
        <v>10</v>
      </c>
      <c r="AH13" s="9"/>
      <c r="AJ13" s="5">
        <v>8</v>
      </c>
      <c r="AK13" s="9">
        <v>1.2765599999999999</v>
      </c>
      <c r="AL13" s="5">
        <f t="shared" si="10"/>
        <v>1.0000119580310438</v>
      </c>
      <c r="AM13" s="21">
        <f t="shared" ref="AM13:AM20" si="72">AK13*AL13</f>
        <v>1.2765752651441091</v>
      </c>
      <c r="AN13" s="5">
        <v>10</v>
      </c>
      <c r="AO13" s="9"/>
      <c r="AQ13" s="5">
        <v>8</v>
      </c>
      <c r="AR13" s="9">
        <v>1.2781400000000001</v>
      </c>
      <c r="AS13" s="34">
        <f t="shared" si="12"/>
        <v>1.0000006179878385</v>
      </c>
      <c r="AT13" s="21">
        <f t="shared" ref="AT13:AT20" si="73">AR13*AS13</f>
        <v>1.2781407898749759</v>
      </c>
      <c r="AU13" s="5">
        <v>10</v>
      </c>
      <c r="AV13" s="9">
        <v>1.0000000000000001E-5</v>
      </c>
      <c r="AX13" s="5">
        <v>8</v>
      </c>
      <c r="AY13" s="9">
        <v>1.2774000000000001</v>
      </c>
      <c r="AZ13" s="34">
        <f t="shared" si="14"/>
        <v>1.0000011219897587</v>
      </c>
      <c r="BA13" s="21">
        <f t="shared" ref="BA13:BA20" si="74">AY13*AZ13</f>
        <v>1.2774014332297179</v>
      </c>
      <c r="BB13" s="5">
        <v>10</v>
      </c>
      <c r="BC13" s="9">
        <v>1.0000000000000001E-5</v>
      </c>
      <c r="BE13" s="5">
        <v>8</v>
      </c>
      <c r="BF13" s="9">
        <v>1.27928</v>
      </c>
      <c r="BG13" s="34">
        <f t="shared" si="16"/>
        <v>1.0000064140099212</v>
      </c>
      <c r="BH13" s="21">
        <f t="shared" ref="BH13:BH20" si="75">BF13*BG13</f>
        <v>1.279288205314612</v>
      </c>
      <c r="BI13" s="5">
        <v>10</v>
      </c>
      <c r="BJ13" s="9">
        <v>1.0000000000000001E-5</v>
      </c>
      <c r="BL13" s="5">
        <v>8</v>
      </c>
      <c r="BM13" s="3">
        <v>1.2760899999999999</v>
      </c>
      <c r="BN13" s="34">
        <f t="shared" si="18"/>
        <v>1.0000033479982398</v>
      </c>
      <c r="BO13" s="21">
        <f t="shared" si="19"/>
        <v>1.2760942723470736</v>
      </c>
      <c r="BP13" s="5">
        <v>10</v>
      </c>
      <c r="BQ13" s="3">
        <v>0</v>
      </c>
      <c r="BS13" s="5">
        <v>8</v>
      </c>
      <c r="BT13" s="3">
        <v>1.2764599999999999</v>
      </c>
      <c r="BU13" s="34">
        <f t="shared" si="65"/>
        <v>1.0000107400264033</v>
      </c>
      <c r="BV13" s="21">
        <f t="shared" si="20"/>
        <v>1.2764737092141027</v>
      </c>
      <c r="BW13" s="5">
        <v>10</v>
      </c>
      <c r="BX13" s="3">
        <v>1.0000000000000001E-5</v>
      </c>
      <c r="BZ13" s="5">
        <v>8</v>
      </c>
      <c r="CA13" s="41">
        <v>1.27535</v>
      </c>
      <c r="CB13" s="34">
        <f t="shared" si="21"/>
        <v>1.0000057420073609</v>
      </c>
      <c r="CC13" s="21">
        <f t="shared" si="22"/>
        <v>1.2753573230690878</v>
      </c>
      <c r="CD13" s="5">
        <v>10</v>
      </c>
      <c r="CE13" s="41">
        <v>1.0000000000000001E-5</v>
      </c>
      <c r="CG13" s="5">
        <v>8</v>
      </c>
      <c r="CH13" s="41">
        <v>1.27532</v>
      </c>
      <c r="CI13" s="34">
        <f t="shared" si="23"/>
        <v>1.000009900023203</v>
      </c>
      <c r="CJ13" s="21">
        <f t="shared" si="24"/>
        <v>1.2753326256975912</v>
      </c>
      <c r="CK13" s="5">
        <v>10</v>
      </c>
      <c r="CL13" s="3">
        <v>1.0000000000000001E-5</v>
      </c>
      <c r="CN13" s="5">
        <v>8</v>
      </c>
      <c r="CO13" s="41">
        <v>1.2751399999999999</v>
      </c>
      <c r="CP13" s="34">
        <f t="shared" si="25"/>
        <v>1.0000010799895986</v>
      </c>
      <c r="CQ13" s="21">
        <f t="shared" si="26"/>
        <v>1.2751413771379367</v>
      </c>
      <c r="CR13" s="5">
        <v>10</v>
      </c>
      <c r="CS13" s="3">
        <v>1.0000000000000001E-5</v>
      </c>
      <c r="CT13" s="15"/>
      <c r="CU13" s="5">
        <v>8</v>
      </c>
      <c r="CV13" s="41">
        <v>1.2768200000000001</v>
      </c>
      <c r="CW13" s="34">
        <f t="shared" si="27"/>
        <v>1.0000025079950392</v>
      </c>
      <c r="CX13" s="21">
        <f t="shared" si="28"/>
        <v>1.276823202258226</v>
      </c>
      <c r="CY13" s="5">
        <v>10</v>
      </c>
      <c r="CZ13" s="3">
        <v>0</v>
      </c>
      <c r="DB13" s="5">
        <v>8</v>
      </c>
      <c r="DC13" s="41">
        <v>1.27817</v>
      </c>
      <c r="DD13" s="34">
        <f t="shared" si="29"/>
        <v>0.99999965198415797</v>
      </c>
      <c r="DE13" s="21">
        <f t="shared" si="30"/>
        <v>1.2781695551765913</v>
      </c>
      <c r="DF13" s="5">
        <v>10</v>
      </c>
      <c r="DG13" s="3">
        <v>1.0000000000000001E-5</v>
      </c>
      <c r="DI13" s="5">
        <v>8</v>
      </c>
      <c r="DJ13" s="41">
        <v>1.27749</v>
      </c>
      <c r="DK13" s="34">
        <f t="shared" si="31"/>
        <v>1.0000034739987198</v>
      </c>
      <c r="DL13" s="21">
        <f t="shared" si="32"/>
        <v>1.2774944379986246</v>
      </c>
      <c r="DM13" s="5">
        <v>10</v>
      </c>
      <c r="DN13" s="3">
        <v>1.0000000000000001E-5</v>
      </c>
      <c r="DP13" s="5">
        <v>8</v>
      </c>
      <c r="DQ13" s="41">
        <v>1.2765899999999999</v>
      </c>
      <c r="DR13" s="34">
        <f t="shared" si="33"/>
        <v>1.0000033479982398</v>
      </c>
      <c r="DS13" s="21">
        <f t="shared" si="34"/>
        <v>1.2765942740210727</v>
      </c>
      <c r="DT13" s="5">
        <v>10</v>
      </c>
      <c r="DU13" s="3">
        <v>1.0000000000000001E-5</v>
      </c>
      <c r="DW13" s="5">
        <v>8</v>
      </c>
      <c r="DX13" s="41">
        <v>1.2778</v>
      </c>
      <c r="DY13" s="34">
        <f t="shared" si="35"/>
        <v>1.0000043980022402</v>
      </c>
      <c r="DZ13" s="21">
        <f t="shared" si="36"/>
        <v>1.2778056197672625</v>
      </c>
      <c r="EA13" s="5">
        <v>10</v>
      </c>
      <c r="EB13" s="3">
        <v>1.0000000000000001E-5</v>
      </c>
      <c r="ED13" s="5">
        <v>8</v>
      </c>
      <c r="EE13" s="41">
        <v>1.27803</v>
      </c>
      <c r="EF13" s="34">
        <f t="shared" si="37"/>
        <v>1.0000106560260833</v>
      </c>
      <c r="EG13" s="21">
        <f t="shared" si="38"/>
        <v>1.2780436187210151</v>
      </c>
      <c r="EH13" s="5">
        <v>10</v>
      </c>
      <c r="EI13" s="3">
        <v>1.0000000000000001E-5</v>
      </c>
      <c r="EK13" s="5">
        <v>8</v>
      </c>
      <c r="EL13" s="41">
        <v>1.27742</v>
      </c>
      <c r="EM13" s="34">
        <f t="shared" si="39"/>
        <v>1.0000063300096012</v>
      </c>
      <c r="EN13" s="21">
        <f t="shared" si="40"/>
        <v>1.2774280860808647</v>
      </c>
      <c r="EO13" s="5">
        <v>10</v>
      </c>
      <c r="EP13" s="3">
        <v>0</v>
      </c>
      <c r="ER13" s="5">
        <v>8</v>
      </c>
      <c r="ES13" s="41">
        <v>1.2771399999999999</v>
      </c>
      <c r="ET13" s="34">
        <f t="shared" si="41"/>
        <v>1.0000117480302437</v>
      </c>
      <c r="EU13" s="21">
        <f t="shared" si="42"/>
        <v>1.2771550038793453</v>
      </c>
      <c r="EV13" s="5">
        <v>10</v>
      </c>
      <c r="EW13" s="3">
        <v>1.0000000000000001E-5</v>
      </c>
      <c r="EY13" s="5">
        <v>8</v>
      </c>
      <c r="EZ13" s="41">
        <v>1.27654</v>
      </c>
      <c r="FA13" s="34">
        <f t="shared" si="43"/>
        <v>1.0000030119969596</v>
      </c>
      <c r="FB13" s="21">
        <f t="shared" si="44"/>
        <v>1.2765438449345989</v>
      </c>
      <c r="FC13" s="5">
        <v>10</v>
      </c>
      <c r="FD13" s="3">
        <v>1.0000000000000001E-5</v>
      </c>
      <c r="FF13" s="5">
        <v>8</v>
      </c>
      <c r="FG13" s="41">
        <v>1.2771300000000001</v>
      </c>
      <c r="FH13" s="34">
        <f t="shared" si="45"/>
        <v>1.0000025919953595</v>
      </c>
      <c r="FI13" s="21">
        <f t="shared" si="46"/>
        <v>1.2771333103150335</v>
      </c>
      <c r="FJ13" s="5">
        <v>10</v>
      </c>
      <c r="FK13" s="3">
        <v>1.0000000000000001E-5</v>
      </c>
      <c r="FM13" s="5">
        <v>8</v>
      </c>
      <c r="FN13" s="41">
        <v>1.2760400000000001</v>
      </c>
      <c r="FO13" s="34">
        <f t="shared" si="47"/>
        <v>1.0000010379894386</v>
      </c>
      <c r="FP13" s="21">
        <f t="shared" si="48"/>
        <v>1.2760413245160434</v>
      </c>
      <c r="FQ13" s="5">
        <v>10</v>
      </c>
      <c r="FR13" s="3">
        <v>0</v>
      </c>
      <c r="FS13" s="15"/>
      <c r="FT13" s="5">
        <v>8</v>
      </c>
      <c r="FU13" s="41">
        <v>1.27755</v>
      </c>
      <c r="FV13" s="34">
        <f t="shared" si="49"/>
        <v>0.99999931598287772</v>
      </c>
      <c r="FW13" s="21">
        <f t="shared" si="50"/>
        <v>1.2775491261339254</v>
      </c>
      <c r="FX13" s="5">
        <v>10</v>
      </c>
      <c r="FY13" s="3">
        <v>1.0000000000000001E-5</v>
      </c>
      <c r="GA13" s="5">
        <v>8</v>
      </c>
      <c r="GB13" s="41">
        <v>1.27776</v>
      </c>
      <c r="GC13" s="34">
        <f t="shared" si="51"/>
        <v>1.0000012059900787</v>
      </c>
      <c r="GD13" s="21">
        <f t="shared" si="52"/>
        <v>1.2777615409658829</v>
      </c>
      <c r="GE13" s="5">
        <v>10</v>
      </c>
      <c r="GF13" s="3">
        <v>0</v>
      </c>
      <c r="GH13" s="5">
        <v>8</v>
      </c>
      <c r="GI13" s="41">
        <v>1.27756</v>
      </c>
      <c r="GJ13" s="34">
        <f t="shared" si="53"/>
        <v>1.0000007019881585</v>
      </c>
      <c r="GK13" s="21">
        <f t="shared" si="54"/>
        <v>1.2775608968319918</v>
      </c>
      <c r="GL13" s="5">
        <v>10</v>
      </c>
      <c r="GM13" s="3">
        <v>1.0000000000000001E-5</v>
      </c>
      <c r="GO13" s="5">
        <v>8</v>
      </c>
      <c r="GP13" s="41">
        <v>1.2767900000000001</v>
      </c>
      <c r="GQ13" s="34">
        <f t="shared" si="55"/>
        <v>0.999999735984478</v>
      </c>
      <c r="GR13" s="21">
        <f t="shared" si="56"/>
        <v>1.2767896629076219</v>
      </c>
      <c r="GS13" s="5">
        <v>10</v>
      </c>
      <c r="GT13" s="3">
        <v>1.0000000000000001E-5</v>
      </c>
      <c r="GV13" s="5">
        <v>8</v>
      </c>
      <c r="GW13" s="41">
        <v>1.2773099999999999</v>
      </c>
      <c r="GX13" s="34">
        <f t="shared" si="57"/>
        <v>1.0000041670013602</v>
      </c>
      <c r="GY13" s="21">
        <f t="shared" si="58"/>
        <v>1.2773153225525073</v>
      </c>
      <c r="GZ13" s="5">
        <v>10</v>
      </c>
      <c r="HA13" s="3">
        <v>1.0000000000000001E-5</v>
      </c>
      <c r="HC13" s="5">
        <v>8</v>
      </c>
      <c r="HD13" s="41">
        <v>1.2759</v>
      </c>
      <c r="HE13" s="34">
        <f t="shared" si="59"/>
        <v>1.0000089970197623</v>
      </c>
      <c r="HF13" s="21">
        <f t="shared" si="60"/>
        <v>1.2759114792975148</v>
      </c>
      <c r="HG13" s="5">
        <v>10</v>
      </c>
      <c r="HH13" s="3">
        <v>1.0000000000000001E-5</v>
      </c>
      <c r="HJ13" s="5">
        <v>8</v>
      </c>
      <c r="HK13" s="41">
        <v>1.2761800000000001</v>
      </c>
      <c r="HL13" s="34">
        <f t="shared" si="61"/>
        <v>0.99999992498519807</v>
      </c>
      <c r="HM13" s="21">
        <f t="shared" si="62"/>
        <v>1.2761799042676101</v>
      </c>
      <c r="HN13" s="5">
        <v>10</v>
      </c>
      <c r="HO13" s="3">
        <v>1.0000000000000001E-5</v>
      </c>
      <c r="HQ13" s="5">
        <v>8</v>
      </c>
      <c r="HR13" s="41">
        <v>1.2776700000000001</v>
      </c>
      <c r="HS13" s="34">
        <f t="shared" si="63"/>
        <v>1.0000073380134415</v>
      </c>
      <c r="HT13" s="21">
        <f t="shared" si="64"/>
        <v>1.2776793755596338</v>
      </c>
      <c r="HU13" s="5">
        <v>10</v>
      </c>
      <c r="HV13" s="3">
        <v>1.0000000000000001E-5</v>
      </c>
    </row>
    <row r="14" spans="1:230" ht="15.75" x14ac:dyDescent="0.25">
      <c r="A14" s="5">
        <v>9</v>
      </c>
      <c r="B14" s="5">
        <v>1.52582</v>
      </c>
      <c r="C14" s="5">
        <f t="shared" si="2"/>
        <v>1.0000075060140818</v>
      </c>
      <c r="D14" s="8">
        <f t="shared" si="0"/>
        <v>1.5258314528264063</v>
      </c>
      <c r="E14" s="5">
        <v>10</v>
      </c>
      <c r="F14" s="5">
        <v>1.0000000000000001E-5</v>
      </c>
      <c r="H14" s="5">
        <v>9</v>
      </c>
      <c r="I14" s="9">
        <v>1.5242100000000001</v>
      </c>
      <c r="J14" s="5">
        <f t="shared" si="3"/>
        <v>1.000005994008321</v>
      </c>
      <c r="K14" s="21">
        <f t="shared" si="1"/>
        <v>1.5242191361274231</v>
      </c>
      <c r="L14" s="5">
        <v>10</v>
      </c>
      <c r="M14" s="5">
        <v>1.0000000000000001E-5</v>
      </c>
      <c r="O14" s="5">
        <v>9</v>
      </c>
      <c r="P14" s="9">
        <v>1.52319</v>
      </c>
      <c r="Q14" s="5">
        <f t="shared" si="4"/>
        <v>1.0000073380134415</v>
      </c>
      <c r="R14" s="21">
        <f t="shared" si="69"/>
        <v>1.523201177188694</v>
      </c>
      <c r="S14" s="5">
        <v>10</v>
      </c>
      <c r="T14" s="5"/>
      <c r="V14" s="5">
        <v>9</v>
      </c>
      <c r="W14" s="9">
        <v>1.52006</v>
      </c>
      <c r="X14" s="5">
        <f t="shared" si="6"/>
        <v>1.0000073380134415</v>
      </c>
      <c r="Y14" s="21">
        <f t="shared" si="70"/>
        <v>1.5200711542207119</v>
      </c>
      <c r="Z14" s="5">
        <v>10</v>
      </c>
      <c r="AA14" s="5">
        <v>0</v>
      </c>
      <c r="AC14" s="5">
        <v>9</v>
      </c>
      <c r="AD14" s="9">
        <v>1.5228299999999999</v>
      </c>
      <c r="AE14" s="5">
        <f t="shared" si="8"/>
        <v>1.0000035579990398</v>
      </c>
      <c r="AF14" s="21">
        <f t="shared" si="71"/>
        <v>1.5228354182276778</v>
      </c>
      <c r="AG14" s="5">
        <v>10</v>
      </c>
      <c r="AH14" s="5"/>
      <c r="AJ14" s="5">
        <v>9</v>
      </c>
      <c r="AK14" s="9">
        <v>1.5234799999999999</v>
      </c>
      <c r="AL14" s="5">
        <f t="shared" si="10"/>
        <v>1.0000119580310438</v>
      </c>
      <c r="AM14" s="21">
        <f t="shared" si="72"/>
        <v>1.5234982178211345</v>
      </c>
      <c r="AN14" s="5">
        <v>10</v>
      </c>
      <c r="AO14" s="5"/>
      <c r="AQ14" s="5">
        <v>9</v>
      </c>
      <c r="AR14" s="9">
        <v>1.52501</v>
      </c>
      <c r="AS14" s="34">
        <f t="shared" si="12"/>
        <v>1.0000006179878385</v>
      </c>
      <c r="AT14" s="21">
        <f t="shared" si="73"/>
        <v>1.5250109424376335</v>
      </c>
      <c r="AU14" s="5">
        <v>10</v>
      </c>
      <c r="AV14" s="5">
        <v>1.0000000000000001E-5</v>
      </c>
      <c r="AX14" s="5">
        <v>9</v>
      </c>
      <c r="AY14" s="9">
        <v>1.5242800000000001</v>
      </c>
      <c r="AZ14" s="34">
        <f t="shared" si="14"/>
        <v>1.0000011219897587</v>
      </c>
      <c r="BA14" s="21">
        <f t="shared" si="74"/>
        <v>1.5242817102265493</v>
      </c>
      <c r="BB14" s="5">
        <v>10</v>
      </c>
      <c r="BC14" s="5">
        <v>2.0000000000000002E-5</v>
      </c>
      <c r="BE14" s="5">
        <v>9</v>
      </c>
      <c r="BF14" s="9">
        <v>1.5261899999999999</v>
      </c>
      <c r="BG14" s="34">
        <f t="shared" si="16"/>
        <v>1.0000064140099212</v>
      </c>
      <c r="BH14" s="21">
        <f t="shared" si="75"/>
        <v>1.5261997889978016</v>
      </c>
      <c r="BI14" s="5">
        <v>10</v>
      </c>
      <c r="BJ14" s="5">
        <v>1.0000000000000001E-5</v>
      </c>
      <c r="BL14" s="5">
        <v>9</v>
      </c>
      <c r="BM14" s="3">
        <v>1.5229200000000001</v>
      </c>
      <c r="BN14" s="34">
        <f t="shared" si="18"/>
        <v>1.0000033479982398</v>
      </c>
      <c r="BO14" s="21">
        <f t="shared" si="19"/>
        <v>1.5229250987334793</v>
      </c>
      <c r="BP14" s="5">
        <v>10</v>
      </c>
      <c r="BQ14" s="3">
        <v>1.0000000000000001E-5</v>
      </c>
      <c r="BS14" s="5">
        <v>9</v>
      </c>
      <c r="BT14" s="3">
        <v>1.5234000000000001</v>
      </c>
      <c r="BU14" s="34">
        <f t="shared" si="65"/>
        <v>1.0000107400264033</v>
      </c>
      <c r="BV14" s="21">
        <f t="shared" si="20"/>
        <v>1.5234163613562228</v>
      </c>
      <c r="BW14" s="5">
        <v>10</v>
      </c>
      <c r="BX14" s="3">
        <v>1.0000000000000001E-5</v>
      </c>
      <c r="BZ14" s="5">
        <v>9</v>
      </c>
      <c r="CA14" s="41">
        <v>1.52227</v>
      </c>
      <c r="CB14" s="34">
        <f t="shared" si="21"/>
        <v>1.0000057420073609</v>
      </c>
      <c r="CC14" s="21">
        <f t="shared" si="22"/>
        <v>1.5222787408855454</v>
      </c>
      <c r="CD14" s="5">
        <v>10</v>
      </c>
      <c r="CE14" s="41">
        <v>0</v>
      </c>
      <c r="CG14" s="5">
        <v>9</v>
      </c>
      <c r="CH14" s="41">
        <v>1.52214</v>
      </c>
      <c r="CI14" s="34">
        <f t="shared" si="23"/>
        <v>1.000009900023203</v>
      </c>
      <c r="CJ14" s="21">
        <f t="shared" si="24"/>
        <v>1.5221550692213182</v>
      </c>
      <c r="CK14" s="5">
        <v>10</v>
      </c>
      <c r="CL14" s="3">
        <v>1.0000000000000001E-5</v>
      </c>
      <c r="CN14" s="5">
        <v>9</v>
      </c>
      <c r="CO14" s="41">
        <v>1.52203</v>
      </c>
      <c r="CP14" s="34">
        <f t="shared" si="25"/>
        <v>1.0000010799895986</v>
      </c>
      <c r="CQ14" s="21">
        <f t="shared" si="26"/>
        <v>1.5220316437765689</v>
      </c>
      <c r="CR14" s="5">
        <v>10</v>
      </c>
      <c r="CS14" s="3">
        <v>1.0000000000000001E-5</v>
      </c>
      <c r="CT14" s="15"/>
      <c r="CU14" s="5">
        <v>9</v>
      </c>
      <c r="CV14" s="41">
        <v>1.52362</v>
      </c>
      <c r="CW14" s="34">
        <f t="shared" si="27"/>
        <v>1.0000025079950392</v>
      </c>
      <c r="CX14" s="21">
        <f t="shared" si="28"/>
        <v>1.5236238212314015</v>
      </c>
      <c r="CY14" s="5">
        <v>10</v>
      </c>
      <c r="CZ14" s="3">
        <v>1.0000000000000001E-5</v>
      </c>
      <c r="DB14" s="5">
        <v>9</v>
      </c>
      <c r="DC14" s="41">
        <v>1.5250600000000001</v>
      </c>
      <c r="DD14" s="34">
        <f t="shared" si="29"/>
        <v>0.99999965198415797</v>
      </c>
      <c r="DE14" s="21">
        <f t="shared" si="30"/>
        <v>1.5250594692549599</v>
      </c>
      <c r="DF14" s="5">
        <v>10</v>
      </c>
      <c r="DG14" s="3">
        <v>1.0000000000000001E-5</v>
      </c>
      <c r="DI14" s="5">
        <v>9</v>
      </c>
      <c r="DJ14" s="41">
        <v>1.5243599999999999</v>
      </c>
      <c r="DK14" s="34">
        <f t="shared" si="31"/>
        <v>1.0000034739987198</v>
      </c>
      <c r="DL14" s="21">
        <f t="shared" si="32"/>
        <v>1.5243652956246885</v>
      </c>
      <c r="DM14" s="5">
        <v>10</v>
      </c>
      <c r="DN14" s="3">
        <v>0</v>
      </c>
      <c r="DP14" s="5">
        <v>9</v>
      </c>
      <c r="DQ14" s="41">
        <v>1.52346</v>
      </c>
      <c r="DR14" s="34">
        <f t="shared" si="33"/>
        <v>1.0000033479982398</v>
      </c>
      <c r="DS14" s="21">
        <f t="shared" si="34"/>
        <v>1.5234651005413984</v>
      </c>
      <c r="DT14" s="5">
        <v>10</v>
      </c>
      <c r="DU14" s="3">
        <v>0</v>
      </c>
      <c r="DW14" s="5">
        <v>9</v>
      </c>
      <c r="DX14" s="41">
        <v>1.5246599999999999</v>
      </c>
      <c r="DY14" s="34">
        <f t="shared" si="35"/>
        <v>1.0000043980022402</v>
      </c>
      <c r="DZ14" s="21">
        <f t="shared" si="36"/>
        <v>1.5246667054580954</v>
      </c>
      <c r="EA14" s="5">
        <v>10</v>
      </c>
      <c r="EB14" s="3">
        <v>1.0000000000000001E-5</v>
      </c>
      <c r="ED14" s="5">
        <v>9</v>
      </c>
      <c r="EE14" s="41">
        <v>1.52494</v>
      </c>
      <c r="EF14" s="34">
        <f t="shared" si="37"/>
        <v>1.0000106560260833</v>
      </c>
      <c r="EG14" s="21">
        <f t="shared" si="38"/>
        <v>1.5249562498004154</v>
      </c>
      <c r="EH14" s="5">
        <v>10</v>
      </c>
      <c r="EI14" s="3">
        <v>1.0000000000000001E-5</v>
      </c>
      <c r="EK14" s="5">
        <v>9</v>
      </c>
      <c r="EL14" s="41">
        <v>1.5243599999999999</v>
      </c>
      <c r="EM14" s="34">
        <f t="shared" si="39"/>
        <v>1.0000063300096012</v>
      </c>
      <c r="EN14" s="21">
        <f t="shared" si="40"/>
        <v>1.5243696492134355</v>
      </c>
      <c r="EO14" s="5">
        <v>10</v>
      </c>
      <c r="EP14" s="3">
        <v>0</v>
      </c>
      <c r="ER14" s="5">
        <v>9</v>
      </c>
      <c r="ES14" s="41">
        <v>1.5240800000000001</v>
      </c>
      <c r="ET14" s="34">
        <f t="shared" si="41"/>
        <v>1.0000117480302437</v>
      </c>
      <c r="EU14" s="21">
        <f t="shared" si="42"/>
        <v>1.524097904937934</v>
      </c>
      <c r="EV14" s="5">
        <v>10</v>
      </c>
      <c r="EW14" s="3">
        <v>0</v>
      </c>
      <c r="EY14" s="5">
        <v>9</v>
      </c>
      <c r="EZ14" s="41">
        <v>1.52345</v>
      </c>
      <c r="FA14" s="34">
        <f t="shared" si="43"/>
        <v>1.0000030119969596</v>
      </c>
      <c r="FB14" s="21">
        <f t="shared" si="44"/>
        <v>1.5234545886267681</v>
      </c>
      <c r="FC14" s="5">
        <v>10</v>
      </c>
      <c r="FD14" s="3">
        <v>0</v>
      </c>
      <c r="FF14" s="5">
        <v>9</v>
      </c>
      <c r="FG14" s="41">
        <v>1.5240499999999999</v>
      </c>
      <c r="FH14" s="34">
        <f t="shared" si="45"/>
        <v>1.0000025919953595</v>
      </c>
      <c r="FI14" s="21">
        <f t="shared" si="46"/>
        <v>1.5240539503305275</v>
      </c>
      <c r="FJ14" s="5">
        <v>10</v>
      </c>
      <c r="FK14" s="3">
        <v>0</v>
      </c>
      <c r="FM14" s="5">
        <v>9</v>
      </c>
      <c r="FN14" s="41">
        <v>1.5228699999999999</v>
      </c>
      <c r="FO14" s="34">
        <f t="shared" si="47"/>
        <v>1.0000010379894386</v>
      </c>
      <c r="FP14" s="21">
        <f t="shared" si="48"/>
        <v>1.5228715807229762</v>
      </c>
      <c r="FQ14" s="5">
        <v>10</v>
      </c>
      <c r="FR14" s="3">
        <v>0</v>
      </c>
      <c r="FS14" s="15"/>
      <c r="FT14" s="5">
        <v>9</v>
      </c>
      <c r="FU14" s="41">
        <v>1.5244200000000001</v>
      </c>
      <c r="FV14" s="34">
        <f t="shared" si="49"/>
        <v>0.99999931598287772</v>
      </c>
      <c r="FW14" s="21">
        <f t="shared" si="50"/>
        <v>1.5244189572706186</v>
      </c>
      <c r="FX14" s="5">
        <v>10</v>
      </c>
      <c r="FY14" s="3">
        <v>0</v>
      </c>
      <c r="GA14" s="5">
        <v>9</v>
      </c>
      <c r="GB14" s="41">
        <v>1.5246500000000001</v>
      </c>
      <c r="GC14" s="34">
        <f t="shared" si="51"/>
        <v>1.0000012059900787</v>
      </c>
      <c r="GD14" s="21">
        <f t="shared" si="52"/>
        <v>1.5246518387127734</v>
      </c>
      <c r="GE14" s="5">
        <v>10</v>
      </c>
      <c r="GF14" s="3">
        <v>0</v>
      </c>
      <c r="GH14" s="5">
        <v>9</v>
      </c>
      <c r="GI14" s="41">
        <v>1.52441</v>
      </c>
      <c r="GJ14" s="34">
        <f t="shared" si="53"/>
        <v>1.0000007019881585</v>
      </c>
      <c r="GK14" s="21">
        <f t="shared" si="54"/>
        <v>1.5244110701177687</v>
      </c>
      <c r="GL14" s="5">
        <v>10</v>
      </c>
      <c r="GM14" s="3">
        <v>1.0000000000000001E-5</v>
      </c>
      <c r="GO14" s="5">
        <v>9</v>
      </c>
      <c r="GP14" s="41">
        <v>1.5236400000000001</v>
      </c>
      <c r="GQ14" s="34">
        <f t="shared" si="55"/>
        <v>0.999999735984478</v>
      </c>
      <c r="GR14" s="21">
        <f t="shared" si="56"/>
        <v>1.5236395977353903</v>
      </c>
      <c r="GS14" s="5">
        <v>10</v>
      </c>
      <c r="GT14" s="3">
        <v>1.0000000000000001E-5</v>
      </c>
      <c r="GV14" s="5">
        <v>9</v>
      </c>
      <c r="GW14" s="41">
        <v>1.52424</v>
      </c>
      <c r="GX14" s="34">
        <f t="shared" si="57"/>
        <v>1.0000041670013602</v>
      </c>
      <c r="GY14" s="21">
        <f t="shared" si="58"/>
        <v>1.5242463515101532</v>
      </c>
      <c r="GZ14" s="5">
        <v>10</v>
      </c>
      <c r="HA14" s="3">
        <v>1.0000000000000001E-5</v>
      </c>
      <c r="HC14" s="5">
        <v>9</v>
      </c>
      <c r="HD14" s="41">
        <v>1.52281</v>
      </c>
      <c r="HE14" s="34">
        <f t="shared" si="59"/>
        <v>1.0000089970197623</v>
      </c>
      <c r="HF14" s="21">
        <f t="shared" si="60"/>
        <v>1.5228237007516643</v>
      </c>
      <c r="HG14" s="5">
        <v>10</v>
      </c>
      <c r="HH14" s="3">
        <v>1.0000000000000001E-5</v>
      </c>
      <c r="HJ14" s="5">
        <v>9</v>
      </c>
      <c r="HK14" s="41">
        <v>1.52305</v>
      </c>
      <c r="HL14" s="34">
        <f t="shared" si="61"/>
        <v>0.99999992498519807</v>
      </c>
      <c r="HM14" s="21">
        <f t="shared" si="62"/>
        <v>1.523049885748706</v>
      </c>
      <c r="HN14" s="5">
        <v>10</v>
      </c>
      <c r="HO14" s="3">
        <v>1.0000000000000001E-5</v>
      </c>
      <c r="HQ14" s="5">
        <v>9</v>
      </c>
      <c r="HR14" s="41">
        <v>1.5246</v>
      </c>
      <c r="HS14" s="34">
        <f t="shared" si="63"/>
        <v>1.0000073380134415</v>
      </c>
      <c r="HT14" s="21">
        <f t="shared" si="64"/>
        <v>1.524611187535293</v>
      </c>
      <c r="HU14" s="5">
        <v>10</v>
      </c>
      <c r="HV14" s="3">
        <v>1.0000000000000001E-5</v>
      </c>
    </row>
    <row r="15" spans="1:230" ht="15.75" x14ac:dyDescent="0.25">
      <c r="A15" s="5">
        <v>10</v>
      </c>
      <c r="B15" s="5">
        <v>1.7934000000000001</v>
      </c>
      <c r="C15" s="5">
        <f t="shared" si="2"/>
        <v>1.0000075060140818</v>
      </c>
      <c r="D15" s="8">
        <f t="shared" si="0"/>
        <v>1.7934134612856545</v>
      </c>
      <c r="E15" s="5">
        <v>10</v>
      </c>
      <c r="F15" s="5">
        <v>1.0000000000000001E-5</v>
      </c>
      <c r="H15" s="5">
        <v>10</v>
      </c>
      <c r="I15" s="9">
        <v>1.79183</v>
      </c>
      <c r="J15" s="5">
        <f t="shared" si="3"/>
        <v>1.000005994008321</v>
      </c>
      <c r="K15" s="21">
        <f t="shared" si="1"/>
        <v>1.7918407402439298</v>
      </c>
      <c r="L15" s="5">
        <v>10</v>
      </c>
      <c r="M15" s="5">
        <v>1.0000000000000001E-5</v>
      </c>
      <c r="O15" s="5">
        <v>10</v>
      </c>
      <c r="P15" s="9">
        <v>1.79084</v>
      </c>
      <c r="Q15" s="5">
        <f t="shared" si="4"/>
        <v>1.0000073380134415</v>
      </c>
      <c r="R15" s="21">
        <f t="shared" si="69"/>
        <v>1.7908531412079916</v>
      </c>
      <c r="S15" s="5">
        <v>10</v>
      </c>
      <c r="T15" s="5"/>
      <c r="V15" s="5">
        <v>10</v>
      </c>
      <c r="W15" s="9">
        <v>1.7877000000000001</v>
      </c>
      <c r="X15" s="5">
        <f t="shared" si="6"/>
        <v>1.0000073380134415</v>
      </c>
      <c r="Y15" s="21">
        <f t="shared" si="70"/>
        <v>1.7877131181666295</v>
      </c>
      <c r="Z15" s="5">
        <v>10</v>
      </c>
      <c r="AA15" s="5">
        <v>1.0000000000000001E-5</v>
      </c>
      <c r="AC15" s="5">
        <v>10</v>
      </c>
      <c r="AD15" s="9">
        <v>1.7904899999999999</v>
      </c>
      <c r="AE15" s="5">
        <f t="shared" si="8"/>
        <v>1.0000035579990398</v>
      </c>
      <c r="AF15" s="21">
        <f t="shared" si="71"/>
        <v>1.7904963705617007</v>
      </c>
      <c r="AG15" s="5">
        <v>10</v>
      </c>
      <c r="AH15" s="5"/>
      <c r="AJ15" s="5">
        <v>10</v>
      </c>
      <c r="AK15" s="9">
        <v>1.79111</v>
      </c>
      <c r="AL15" s="5">
        <f t="shared" si="10"/>
        <v>1.0000119580310438</v>
      </c>
      <c r="AM15" s="21">
        <f t="shared" si="72"/>
        <v>1.7911314181489828</v>
      </c>
      <c r="AN15" s="5">
        <v>10</v>
      </c>
      <c r="AO15" s="5"/>
      <c r="AQ15" s="5">
        <v>10</v>
      </c>
      <c r="AR15" s="9">
        <v>1.79257</v>
      </c>
      <c r="AS15" s="34">
        <f t="shared" si="12"/>
        <v>1.0000006179878385</v>
      </c>
      <c r="AT15" s="21">
        <f t="shared" si="73"/>
        <v>1.7925711077864597</v>
      </c>
      <c r="AU15" s="5">
        <v>10</v>
      </c>
      <c r="AV15" s="5">
        <v>0</v>
      </c>
      <c r="AX15" s="5">
        <v>10</v>
      </c>
      <c r="AY15" s="9">
        <v>1.7918400000000001</v>
      </c>
      <c r="AZ15" s="34">
        <f t="shared" si="14"/>
        <v>1.0000011219897587</v>
      </c>
      <c r="BA15" s="21">
        <f t="shared" si="74"/>
        <v>1.7918420104261292</v>
      </c>
      <c r="BB15" s="5">
        <v>10</v>
      </c>
      <c r="BC15" s="5">
        <v>1.0000000000000001E-5</v>
      </c>
      <c r="BE15" s="5">
        <v>10</v>
      </c>
      <c r="BF15" s="9">
        <v>1.79379</v>
      </c>
      <c r="BG15" s="34">
        <f t="shared" si="16"/>
        <v>1.0000064140099212</v>
      </c>
      <c r="BH15" s="21">
        <f t="shared" si="75"/>
        <v>1.7938015053868566</v>
      </c>
      <c r="BI15" s="5">
        <v>10</v>
      </c>
      <c r="BJ15" s="5">
        <v>1.0000000000000001E-5</v>
      </c>
      <c r="BL15" s="5">
        <v>10</v>
      </c>
      <c r="BM15" s="3">
        <v>1.7905800000000001</v>
      </c>
      <c r="BN15" s="34">
        <f t="shared" si="18"/>
        <v>1.0000033479982398</v>
      </c>
      <c r="BO15" s="21">
        <f t="shared" si="19"/>
        <v>1.7905859948586882</v>
      </c>
      <c r="BP15" s="5">
        <v>10</v>
      </c>
      <c r="BQ15" s="3">
        <v>1.0000000000000001E-5</v>
      </c>
      <c r="BS15" s="5">
        <v>10</v>
      </c>
      <c r="BT15" s="3">
        <v>1.79101</v>
      </c>
      <c r="BU15" s="34">
        <f t="shared" si="65"/>
        <v>1.0000107400264033</v>
      </c>
      <c r="BV15" s="21">
        <f t="shared" si="20"/>
        <v>1.7910292354946886</v>
      </c>
      <c r="BW15" s="5">
        <v>10</v>
      </c>
      <c r="BX15" s="3">
        <v>1.0000000000000001E-5</v>
      </c>
      <c r="BZ15" s="5">
        <v>10</v>
      </c>
      <c r="CA15" s="41">
        <v>1.7899</v>
      </c>
      <c r="CB15" s="34">
        <f t="shared" si="21"/>
        <v>1.0000057420073609</v>
      </c>
      <c r="CC15" s="21">
        <f t="shared" si="22"/>
        <v>1.7899102776189753</v>
      </c>
      <c r="CD15" s="5">
        <v>10</v>
      </c>
      <c r="CE15" s="41">
        <v>2.0000000000000002E-5</v>
      </c>
      <c r="CG15" s="5">
        <v>10</v>
      </c>
      <c r="CH15" s="41">
        <v>1.7898799999999999</v>
      </c>
      <c r="CI15" s="34">
        <f t="shared" si="23"/>
        <v>1.000009900023203</v>
      </c>
      <c r="CJ15" s="21">
        <f t="shared" si="24"/>
        <v>1.7898977198535304</v>
      </c>
      <c r="CK15" s="5">
        <v>10</v>
      </c>
      <c r="CL15" s="3">
        <v>0</v>
      </c>
      <c r="CN15" s="5">
        <v>10</v>
      </c>
      <c r="CO15" s="41">
        <v>1.7896099999999999</v>
      </c>
      <c r="CP15" s="34">
        <f t="shared" si="25"/>
        <v>1.0000010799895986</v>
      </c>
      <c r="CQ15" s="21">
        <f t="shared" si="26"/>
        <v>1.7896119327601856</v>
      </c>
      <c r="CR15" s="5">
        <v>10</v>
      </c>
      <c r="CS15" s="3">
        <v>1.0000000000000001E-5</v>
      </c>
      <c r="CT15" s="15"/>
      <c r="CU15" s="5">
        <v>10</v>
      </c>
      <c r="CV15" s="41">
        <v>1.7912999999999999</v>
      </c>
      <c r="CW15" s="34">
        <f t="shared" si="27"/>
        <v>1.0000025079950392</v>
      </c>
      <c r="CX15" s="21">
        <f t="shared" si="28"/>
        <v>1.7913044925715136</v>
      </c>
      <c r="CY15" s="5">
        <v>10</v>
      </c>
      <c r="CZ15" s="3">
        <v>0</v>
      </c>
      <c r="DB15" s="5">
        <v>10</v>
      </c>
      <c r="DC15" s="41">
        <v>1.7927</v>
      </c>
      <c r="DD15" s="34">
        <f t="shared" si="29"/>
        <v>0.99999965198415797</v>
      </c>
      <c r="DE15" s="21">
        <f t="shared" si="30"/>
        <v>1.792699376112</v>
      </c>
      <c r="DF15" s="5">
        <v>10</v>
      </c>
      <c r="DG15" s="3">
        <v>1.0000000000000001E-5</v>
      </c>
      <c r="DI15" s="5">
        <v>10</v>
      </c>
      <c r="DJ15" s="41">
        <v>1.792</v>
      </c>
      <c r="DK15" s="34">
        <f t="shared" si="31"/>
        <v>1.0000034739987198</v>
      </c>
      <c r="DL15" s="21">
        <f t="shared" si="32"/>
        <v>1.7920062254057059</v>
      </c>
      <c r="DM15" s="5">
        <v>10</v>
      </c>
      <c r="DN15" s="3">
        <v>1.0000000000000001E-5</v>
      </c>
      <c r="DP15" s="5">
        <v>10</v>
      </c>
      <c r="DQ15" s="41">
        <v>1.7911600000000001</v>
      </c>
      <c r="DR15" s="34">
        <f t="shared" si="33"/>
        <v>1.0000033479982398</v>
      </c>
      <c r="DS15" s="21">
        <f t="shared" si="34"/>
        <v>1.7911659968005271</v>
      </c>
      <c r="DT15" s="5">
        <v>10</v>
      </c>
      <c r="DU15" s="3">
        <v>1.0000000000000001E-5</v>
      </c>
      <c r="DW15" s="5">
        <v>10</v>
      </c>
      <c r="DX15" s="41">
        <v>1.7923</v>
      </c>
      <c r="DY15" s="34">
        <f t="shared" si="35"/>
        <v>1.0000043980022402</v>
      </c>
      <c r="DZ15" s="21">
        <f t="shared" si="36"/>
        <v>1.792307882539415</v>
      </c>
      <c r="EA15" s="5">
        <v>10</v>
      </c>
      <c r="EB15" s="3">
        <v>1.0000000000000001E-5</v>
      </c>
      <c r="ED15" s="5">
        <v>10</v>
      </c>
      <c r="EE15" s="41">
        <v>1.79261</v>
      </c>
      <c r="EF15" s="34">
        <f t="shared" si="37"/>
        <v>1.0000106560260833</v>
      </c>
      <c r="EG15" s="21">
        <f t="shared" si="38"/>
        <v>1.7926291020989171</v>
      </c>
      <c r="EH15" s="5">
        <v>10</v>
      </c>
      <c r="EI15" s="3">
        <v>0</v>
      </c>
      <c r="EK15" s="5">
        <v>10</v>
      </c>
      <c r="EL15" s="41">
        <v>1.7919799999999999</v>
      </c>
      <c r="EM15" s="34">
        <f t="shared" si="39"/>
        <v>1.0000063300096012</v>
      </c>
      <c r="EN15" s="21">
        <f t="shared" si="40"/>
        <v>1.7919913432506049</v>
      </c>
      <c r="EO15" s="5">
        <v>10</v>
      </c>
      <c r="EP15" s="3">
        <v>0</v>
      </c>
      <c r="ER15" s="5">
        <v>10</v>
      </c>
      <c r="ES15" s="41">
        <v>1.79172</v>
      </c>
      <c r="ET15" s="34">
        <f t="shared" si="41"/>
        <v>1.0000117480302437</v>
      </c>
      <c r="EU15" s="21">
        <f t="shared" si="42"/>
        <v>1.7917410491807482</v>
      </c>
      <c r="EV15" s="5">
        <v>10</v>
      </c>
      <c r="EW15" s="3">
        <v>0</v>
      </c>
      <c r="EY15" s="5">
        <v>10</v>
      </c>
      <c r="EZ15" s="41">
        <v>1.79111</v>
      </c>
      <c r="FA15" s="34">
        <f t="shared" si="43"/>
        <v>1.0000030119969596</v>
      </c>
      <c r="FB15" s="21">
        <f t="shared" si="44"/>
        <v>1.7911153948178744</v>
      </c>
      <c r="FC15" s="5">
        <v>10</v>
      </c>
      <c r="FD15" s="3">
        <v>1.0000000000000001E-5</v>
      </c>
      <c r="FF15" s="5">
        <v>10</v>
      </c>
      <c r="FG15" s="41">
        <v>1.7917000000000001</v>
      </c>
      <c r="FH15" s="34">
        <f t="shared" si="45"/>
        <v>1.0000025919953595</v>
      </c>
      <c r="FI15" s="21">
        <f t="shared" si="46"/>
        <v>1.7917046440780857</v>
      </c>
      <c r="FJ15" s="5">
        <v>10</v>
      </c>
      <c r="FK15" s="3">
        <v>1.0000000000000001E-5</v>
      </c>
      <c r="FM15" s="5">
        <v>10</v>
      </c>
      <c r="FN15" s="41">
        <v>1.7905</v>
      </c>
      <c r="FO15" s="34">
        <f t="shared" si="47"/>
        <v>1.0000010379894386</v>
      </c>
      <c r="FP15" s="21">
        <f t="shared" si="48"/>
        <v>1.7905018585200898</v>
      </c>
      <c r="FQ15" s="5">
        <v>10</v>
      </c>
      <c r="FR15" s="3">
        <v>0</v>
      </c>
      <c r="FS15" s="15"/>
      <c r="FT15" s="5">
        <v>10</v>
      </c>
      <c r="FU15" s="41">
        <v>1.7920700000000001</v>
      </c>
      <c r="FV15" s="34">
        <f t="shared" si="49"/>
        <v>0.99999931598287772</v>
      </c>
      <c r="FW15" s="21">
        <f t="shared" si="50"/>
        <v>1.7920687741934358</v>
      </c>
      <c r="FX15" s="5">
        <v>10</v>
      </c>
      <c r="FY15" s="3">
        <v>0</v>
      </c>
      <c r="GA15" s="5">
        <v>10</v>
      </c>
      <c r="GB15" s="41">
        <v>1.79226</v>
      </c>
      <c r="GC15" s="34">
        <f t="shared" si="51"/>
        <v>1.0000012059900787</v>
      </c>
      <c r="GD15" s="21">
        <f t="shared" si="52"/>
        <v>1.7922621614477785</v>
      </c>
      <c r="GE15" s="5">
        <v>10</v>
      </c>
      <c r="GF15" s="3">
        <v>0</v>
      </c>
      <c r="GH15" s="5">
        <v>10</v>
      </c>
      <c r="GI15" s="41">
        <v>1.7920799999999999</v>
      </c>
      <c r="GJ15" s="34">
        <f t="shared" si="53"/>
        <v>1.0000007019881585</v>
      </c>
      <c r="GK15" s="21">
        <f t="shared" si="54"/>
        <v>1.7920812580189389</v>
      </c>
      <c r="GL15" s="5">
        <v>10</v>
      </c>
      <c r="GM15" s="3">
        <v>1.0000000000000001E-5</v>
      </c>
      <c r="GO15" s="5">
        <v>10</v>
      </c>
      <c r="GP15" s="41">
        <v>1.79128</v>
      </c>
      <c r="GQ15" s="34">
        <f t="shared" si="55"/>
        <v>0.999999735984478</v>
      </c>
      <c r="GR15" s="21">
        <f t="shared" si="56"/>
        <v>1.7912795270742758</v>
      </c>
      <c r="GS15" s="5">
        <v>10</v>
      </c>
      <c r="GT15" s="3">
        <v>1.0000000000000001E-5</v>
      </c>
      <c r="GV15" s="5">
        <v>10</v>
      </c>
      <c r="GW15" s="41">
        <v>1.79183</v>
      </c>
      <c r="GX15" s="34">
        <f t="shared" si="57"/>
        <v>1.0000041670013602</v>
      </c>
      <c r="GY15" s="21">
        <f t="shared" si="58"/>
        <v>1.7918374665580472</v>
      </c>
      <c r="GZ15" s="5">
        <v>10</v>
      </c>
      <c r="HA15" s="3">
        <v>1.0000000000000001E-5</v>
      </c>
      <c r="HC15" s="5">
        <v>10</v>
      </c>
      <c r="HD15" s="41">
        <v>1.79044</v>
      </c>
      <c r="HE15" s="34">
        <f t="shared" si="59"/>
        <v>1.0000089970197623</v>
      </c>
      <c r="HF15" s="21">
        <f t="shared" si="60"/>
        <v>1.7904561086240633</v>
      </c>
      <c r="HG15" s="5">
        <v>10</v>
      </c>
      <c r="HH15" s="3">
        <v>1.0000000000000001E-5</v>
      </c>
      <c r="HJ15" s="5">
        <v>10</v>
      </c>
      <c r="HK15" s="41">
        <v>1.79067</v>
      </c>
      <c r="HL15" s="34">
        <f t="shared" si="61"/>
        <v>0.99999992498519807</v>
      </c>
      <c r="HM15" s="21">
        <f t="shared" si="62"/>
        <v>1.7906698656732447</v>
      </c>
      <c r="HN15" s="5">
        <v>10</v>
      </c>
      <c r="HO15" s="3">
        <v>1.0000000000000001E-5</v>
      </c>
      <c r="HQ15" s="5">
        <v>10</v>
      </c>
      <c r="HR15" s="41">
        <v>1.7922</v>
      </c>
      <c r="HS15" s="34">
        <f t="shared" si="63"/>
        <v>1.0000073380134415</v>
      </c>
      <c r="HT15" s="21">
        <f t="shared" si="64"/>
        <v>1.79221315118769</v>
      </c>
      <c r="HU15" s="5">
        <v>10</v>
      </c>
      <c r="HV15" s="3">
        <v>0</v>
      </c>
    </row>
    <row r="16" spans="1:230" ht="15.75" x14ac:dyDescent="0.25">
      <c r="A16" s="5">
        <v>11</v>
      </c>
      <c r="B16" s="5">
        <v>2.1264099999999999</v>
      </c>
      <c r="C16" s="5">
        <f t="shared" si="2"/>
        <v>1.0000075060140818</v>
      </c>
      <c r="D16" s="8">
        <f t="shared" si="0"/>
        <v>2.1264259608634037</v>
      </c>
      <c r="E16" s="5">
        <v>10</v>
      </c>
      <c r="F16" s="5">
        <v>1.0000000000000001E-5</v>
      </c>
      <c r="H16" s="5">
        <v>11</v>
      </c>
      <c r="I16" s="9">
        <v>2.1249400000000001</v>
      </c>
      <c r="J16" s="5">
        <f t="shared" si="3"/>
        <v>1.000005994008321</v>
      </c>
      <c r="K16" s="21">
        <f t="shared" si="1"/>
        <v>2.1249527369080417</v>
      </c>
      <c r="L16" s="5">
        <v>10</v>
      </c>
      <c r="M16" s="5">
        <v>1.0000000000000001E-5</v>
      </c>
      <c r="O16" s="5">
        <v>11</v>
      </c>
      <c r="P16" s="9">
        <v>2.1238999999999999</v>
      </c>
      <c r="Q16" s="5">
        <f t="shared" si="4"/>
        <v>1.0000073380134415</v>
      </c>
      <c r="R16" s="21">
        <f t="shared" si="69"/>
        <v>2.1239155852067486</v>
      </c>
      <c r="S16" s="5">
        <v>10</v>
      </c>
      <c r="T16" s="5"/>
      <c r="V16" s="5">
        <v>11</v>
      </c>
      <c r="W16" s="9">
        <v>2.12073</v>
      </c>
      <c r="X16" s="5">
        <f t="shared" si="6"/>
        <v>1.0000073380134415</v>
      </c>
      <c r="Y16" s="21">
        <f t="shared" si="70"/>
        <v>2.1207455619452458</v>
      </c>
      <c r="Z16" s="5">
        <v>10</v>
      </c>
      <c r="AA16" s="5">
        <v>1.0000000000000001E-5</v>
      </c>
      <c r="AC16" s="5">
        <v>11</v>
      </c>
      <c r="AD16" s="9">
        <v>2.12351</v>
      </c>
      <c r="AE16" s="5">
        <f t="shared" si="8"/>
        <v>1.0000035579990398</v>
      </c>
      <c r="AF16" s="21">
        <f t="shared" si="71"/>
        <v>2.1235175554465413</v>
      </c>
      <c r="AG16" s="5">
        <v>10</v>
      </c>
      <c r="AH16" s="5"/>
      <c r="AJ16" s="5">
        <v>11</v>
      </c>
      <c r="AK16" s="9">
        <v>2.1241400000000001</v>
      </c>
      <c r="AL16" s="5">
        <f t="shared" si="10"/>
        <v>1.0000119580310438</v>
      </c>
      <c r="AM16" s="21">
        <f t="shared" si="72"/>
        <v>2.1241654005320614</v>
      </c>
      <c r="AN16" s="5">
        <v>10</v>
      </c>
      <c r="AO16" s="5"/>
      <c r="AQ16" s="5">
        <v>11</v>
      </c>
      <c r="AR16" s="9">
        <v>2.1256699999999999</v>
      </c>
      <c r="AS16" s="34">
        <f t="shared" si="12"/>
        <v>1.0000006179878385</v>
      </c>
      <c r="AT16" s="21">
        <f t="shared" si="73"/>
        <v>2.1256713136382084</v>
      </c>
      <c r="AU16" s="5">
        <v>10</v>
      </c>
      <c r="AV16" s="5">
        <v>1.0000000000000001E-5</v>
      </c>
      <c r="AX16" s="5">
        <v>11</v>
      </c>
      <c r="AY16" s="9">
        <v>2.1248999999999998</v>
      </c>
      <c r="AZ16" s="34">
        <f t="shared" si="14"/>
        <v>1.0000011219897587</v>
      </c>
      <c r="BA16" s="21">
        <f t="shared" si="74"/>
        <v>2.1249023841160382</v>
      </c>
      <c r="BB16" s="5">
        <v>10</v>
      </c>
      <c r="BC16" s="5">
        <v>1.0000000000000001E-5</v>
      </c>
      <c r="BE16" s="5">
        <v>11</v>
      </c>
      <c r="BF16" s="9">
        <v>2.1268099999999999</v>
      </c>
      <c r="BG16" s="34">
        <f t="shared" si="16"/>
        <v>1.0000064140099212</v>
      </c>
      <c r="BH16" s="21">
        <f t="shared" si="75"/>
        <v>2.1268236413804402</v>
      </c>
      <c r="BI16" s="5">
        <v>10</v>
      </c>
      <c r="BJ16" s="5">
        <v>1.0000000000000001E-5</v>
      </c>
      <c r="BL16" s="5">
        <v>11</v>
      </c>
      <c r="BM16" s="3">
        <v>2.1236600000000001</v>
      </c>
      <c r="BN16" s="34">
        <f t="shared" si="18"/>
        <v>1.0000033479982398</v>
      </c>
      <c r="BO16" s="21">
        <f t="shared" si="19"/>
        <v>2.1236671100099418</v>
      </c>
      <c r="BP16" s="5">
        <v>10</v>
      </c>
      <c r="BQ16" s="3">
        <v>1.0000000000000001E-5</v>
      </c>
      <c r="BS16" s="5">
        <v>11</v>
      </c>
      <c r="BT16" s="3">
        <v>2.1240899999999998</v>
      </c>
      <c r="BU16" s="34">
        <f t="shared" si="65"/>
        <v>1.0000107400264033</v>
      </c>
      <c r="BV16" s="21">
        <f t="shared" si="20"/>
        <v>2.1241128127826827</v>
      </c>
      <c r="BW16" s="5">
        <v>10</v>
      </c>
      <c r="BX16" s="3">
        <v>1.0000000000000001E-5</v>
      </c>
      <c r="BZ16" s="5">
        <v>11</v>
      </c>
      <c r="CA16" s="41">
        <v>2.1229399999999998</v>
      </c>
      <c r="CB16" s="34">
        <f t="shared" si="21"/>
        <v>1.0000057420073609</v>
      </c>
      <c r="CC16" s="21">
        <f t="shared" si="22"/>
        <v>2.1229521899371067</v>
      </c>
      <c r="CD16" s="5">
        <v>10</v>
      </c>
      <c r="CE16" s="41">
        <v>1.0000000000000001E-5</v>
      </c>
      <c r="CG16" s="5">
        <v>11</v>
      </c>
      <c r="CH16" s="41">
        <v>2.12297</v>
      </c>
      <c r="CI16" s="34">
        <f t="shared" si="23"/>
        <v>1.000009900023203</v>
      </c>
      <c r="CJ16" s="21">
        <f t="shared" si="24"/>
        <v>2.1229910174522595</v>
      </c>
      <c r="CK16" s="5">
        <v>10</v>
      </c>
      <c r="CL16" s="3">
        <v>1.0000000000000001E-5</v>
      </c>
      <c r="CN16" s="5">
        <v>11</v>
      </c>
      <c r="CO16" s="41">
        <v>2.1226500000000001</v>
      </c>
      <c r="CP16" s="34">
        <f t="shared" si="25"/>
        <v>1.0000010799895986</v>
      </c>
      <c r="CQ16" s="21">
        <f t="shared" si="26"/>
        <v>2.1226522924399216</v>
      </c>
      <c r="CR16" s="5">
        <v>10</v>
      </c>
      <c r="CS16" s="3">
        <v>1.0000000000000001E-5</v>
      </c>
      <c r="CU16" s="5">
        <v>11</v>
      </c>
      <c r="CV16" s="41">
        <v>2.1242800000000002</v>
      </c>
      <c r="CW16" s="34">
        <f t="shared" si="27"/>
        <v>1.0000025079950392</v>
      </c>
      <c r="CX16" s="21">
        <f t="shared" si="28"/>
        <v>2.1242853276837019</v>
      </c>
      <c r="CY16" s="5">
        <v>10</v>
      </c>
      <c r="CZ16" s="3">
        <v>1.0000000000000001E-5</v>
      </c>
      <c r="DB16" s="5">
        <v>11</v>
      </c>
      <c r="DC16" s="41">
        <v>2.1257299999999999</v>
      </c>
      <c r="DD16" s="34">
        <f t="shared" si="29"/>
        <v>0.99999965198415797</v>
      </c>
      <c r="DE16" s="21">
        <f t="shared" si="30"/>
        <v>2.1257292602122839</v>
      </c>
      <c r="DF16" s="5">
        <v>10</v>
      </c>
      <c r="DG16" s="3">
        <v>1.0000000000000001E-5</v>
      </c>
      <c r="DI16" s="5">
        <v>11</v>
      </c>
      <c r="DJ16" s="41">
        <v>2.1250399999999998</v>
      </c>
      <c r="DK16" s="34">
        <f t="shared" si="31"/>
        <v>1.0000034739987198</v>
      </c>
      <c r="DL16" s="21">
        <f t="shared" si="32"/>
        <v>2.1250473823862395</v>
      </c>
      <c r="DM16" s="5">
        <v>10</v>
      </c>
      <c r="DN16" s="3">
        <v>0</v>
      </c>
      <c r="DP16" s="5">
        <v>11</v>
      </c>
      <c r="DQ16" s="41">
        <v>2.12418</v>
      </c>
      <c r="DR16" s="34">
        <f t="shared" si="33"/>
        <v>1.0000033479982398</v>
      </c>
      <c r="DS16" s="21">
        <f t="shared" si="34"/>
        <v>2.124187111750901</v>
      </c>
      <c r="DT16" s="5">
        <v>10</v>
      </c>
      <c r="DU16" s="3">
        <v>1.0000000000000001E-5</v>
      </c>
      <c r="DW16" s="5">
        <v>11</v>
      </c>
      <c r="DX16" s="41">
        <v>2.1253799999999998</v>
      </c>
      <c r="DY16" s="34">
        <f t="shared" si="35"/>
        <v>1.0000043980022402</v>
      </c>
      <c r="DZ16" s="21">
        <f t="shared" si="36"/>
        <v>2.1253893474260011</v>
      </c>
      <c r="EA16" s="5">
        <v>10</v>
      </c>
      <c r="EB16" s="3">
        <v>1.0000000000000001E-5</v>
      </c>
      <c r="ED16" s="5">
        <v>11</v>
      </c>
      <c r="EE16" s="41">
        <v>2.1256499999999998</v>
      </c>
      <c r="EF16" s="34">
        <f t="shared" si="37"/>
        <v>1.0000106560260833</v>
      </c>
      <c r="EG16" s="21">
        <f t="shared" si="38"/>
        <v>2.1256726509818438</v>
      </c>
      <c r="EH16" s="5">
        <v>10</v>
      </c>
      <c r="EI16" s="3">
        <v>1.0000000000000001E-5</v>
      </c>
      <c r="EK16" s="5">
        <v>11</v>
      </c>
      <c r="EL16" s="41">
        <v>2.1251099999999998</v>
      </c>
      <c r="EM16" s="34">
        <f t="shared" si="39"/>
        <v>1.0000063300096012</v>
      </c>
      <c r="EN16" s="21">
        <f t="shared" si="40"/>
        <v>2.1251234519667035</v>
      </c>
      <c r="EO16" s="5">
        <v>10</v>
      </c>
      <c r="EP16" s="3">
        <v>0</v>
      </c>
      <c r="ER16" s="5">
        <v>11</v>
      </c>
      <c r="ES16" s="41">
        <v>2.1247400000000001</v>
      </c>
      <c r="ET16" s="34">
        <f t="shared" si="41"/>
        <v>1.0000117480302437</v>
      </c>
      <c r="EU16" s="21">
        <f t="shared" si="42"/>
        <v>2.1247649615097801</v>
      </c>
      <c r="EV16" s="5">
        <v>10</v>
      </c>
      <c r="EW16" s="3">
        <v>0</v>
      </c>
      <c r="EY16" s="5">
        <v>11</v>
      </c>
      <c r="EZ16" s="41">
        <v>2.1241400000000001</v>
      </c>
      <c r="FA16" s="34">
        <f t="shared" si="43"/>
        <v>1.0000030119969596</v>
      </c>
      <c r="FB16" s="21">
        <f t="shared" si="44"/>
        <v>2.124146397903222</v>
      </c>
      <c r="FC16" s="5">
        <v>10</v>
      </c>
      <c r="FD16" s="3">
        <v>0</v>
      </c>
      <c r="FF16" s="5">
        <v>11</v>
      </c>
      <c r="FG16" s="41">
        <v>2.1247500000000001</v>
      </c>
      <c r="FH16" s="34">
        <f t="shared" si="45"/>
        <v>1.0000025919953595</v>
      </c>
      <c r="FI16" s="21">
        <f t="shared" si="46"/>
        <v>2.1247555073421402</v>
      </c>
      <c r="FJ16" s="5">
        <v>10</v>
      </c>
      <c r="FK16" s="3">
        <v>1.0000000000000001E-5</v>
      </c>
      <c r="FM16" s="5">
        <v>11</v>
      </c>
      <c r="FN16" s="41">
        <v>2.1236000000000002</v>
      </c>
      <c r="FO16" s="34">
        <f t="shared" si="47"/>
        <v>1.0000010379894386</v>
      </c>
      <c r="FP16" s="21">
        <f t="shared" si="48"/>
        <v>2.1236022042743721</v>
      </c>
      <c r="FQ16" s="5">
        <v>10</v>
      </c>
      <c r="FR16" s="3">
        <v>0</v>
      </c>
      <c r="FS16" s="15"/>
      <c r="FT16" s="5">
        <v>11</v>
      </c>
      <c r="FU16" s="41">
        <v>2.1251500000000001</v>
      </c>
      <c r="FV16" s="34">
        <f t="shared" si="49"/>
        <v>0.99999931598287772</v>
      </c>
      <c r="FW16" s="21">
        <f t="shared" si="50"/>
        <v>2.1251485463610127</v>
      </c>
      <c r="FX16" s="5">
        <v>10</v>
      </c>
      <c r="FY16" s="3">
        <v>1.0000000000000001E-5</v>
      </c>
      <c r="GA16" s="5">
        <v>11</v>
      </c>
      <c r="GB16" s="41">
        <v>2.1252900000000001</v>
      </c>
      <c r="GC16" s="34">
        <f t="shared" si="51"/>
        <v>1.0000012059900787</v>
      </c>
      <c r="GD16" s="21">
        <f t="shared" si="52"/>
        <v>2.1252925630786543</v>
      </c>
      <c r="GE16" s="5">
        <v>10</v>
      </c>
      <c r="GF16" s="3">
        <v>0</v>
      </c>
      <c r="GH16" s="5">
        <v>11</v>
      </c>
      <c r="GI16" s="41">
        <v>2.1250900000000001</v>
      </c>
      <c r="GJ16" s="34">
        <f t="shared" si="53"/>
        <v>1.0000007019881585</v>
      </c>
      <c r="GK16" s="21">
        <f t="shared" si="54"/>
        <v>2.1250914917880159</v>
      </c>
      <c r="GL16" s="5">
        <v>10</v>
      </c>
      <c r="GM16" s="3">
        <v>1.0000000000000001E-5</v>
      </c>
      <c r="GO16" s="5">
        <v>11</v>
      </c>
      <c r="GP16" s="41">
        <v>2.1243099999999999</v>
      </c>
      <c r="GQ16" s="34">
        <f t="shared" si="55"/>
        <v>0.999999735984478</v>
      </c>
      <c r="GR16" s="21">
        <f t="shared" si="56"/>
        <v>2.1243094391491866</v>
      </c>
      <c r="GS16" s="5">
        <v>10</v>
      </c>
      <c r="GT16" s="3">
        <v>0</v>
      </c>
      <c r="GV16" s="5">
        <v>11</v>
      </c>
      <c r="GW16" s="41">
        <v>2.1249500000000001</v>
      </c>
      <c r="GX16" s="34">
        <f t="shared" si="57"/>
        <v>1.0000041670013602</v>
      </c>
      <c r="GY16" s="21">
        <f t="shared" si="58"/>
        <v>2.1249588546695404</v>
      </c>
      <c r="GZ16" s="5">
        <v>10</v>
      </c>
      <c r="HA16" s="3">
        <v>1.0000000000000001E-5</v>
      </c>
      <c r="HC16" s="5">
        <v>11</v>
      </c>
      <c r="HD16" s="41">
        <v>2.1235200000000001</v>
      </c>
      <c r="HE16" s="34">
        <f t="shared" si="59"/>
        <v>1.0000089970197623</v>
      </c>
      <c r="HF16" s="21">
        <f t="shared" si="60"/>
        <v>2.1235391053514059</v>
      </c>
      <c r="HG16" s="5">
        <v>10</v>
      </c>
      <c r="HH16" s="3">
        <v>1.0000000000000001E-5</v>
      </c>
      <c r="HJ16" s="5">
        <v>11</v>
      </c>
      <c r="HK16" s="41">
        <v>2.1237300000000001</v>
      </c>
      <c r="HL16" s="34">
        <f t="shared" si="61"/>
        <v>0.99999992498519807</v>
      </c>
      <c r="HM16" s="21">
        <f t="shared" si="62"/>
        <v>2.123729840688815</v>
      </c>
      <c r="HN16" s="5">
        <v>10</v>
      </c>
      <c r="HO16" s="3">
        <v>1.0000000000000001E-5</v>
      </c>
      <c r="HQ16" s="5">
        <v>11</v>
      </c>
      <c r="HR16" s="41">
        <v>2.1252599999999999</v>
      </c>
      <c r="HS16" s="34">
        <f t="shared" si="63"/>
        <v>1.0000073380134415</v>
      </c>
      <c r="HT16" s="21">
        <f t="shared" si="64"/>
        <v>2.1252755951864466</v>
      </c>
      <c r="HU16" s="5">
        <v>10</v>
      </c>
      <c r="HV16" s="3">
        <v>1.0000000000000001E-5</v>
      </c>
    </row>
    <row r="17" spans="1:230" ht="15.75" x14ac:dyDescent="0.25">
      <c r="A17" s="5">
        <v>12</v>
      </c>
      <c r="B17" s="5">
        <v>2.3902899999999998</v>
      </c>
      <c r="C17" s="5">
        <f t="shared" si="2"/>
        <v>1.0000075060140818</v>
      </c>
      <c r="D17" s="8">
        <f t="shared" si="0"/>
        <v>2.3903079415503994</v>
      </c>
      <c r="E17" s="5">
        <v>10</v>
      </c>
      <c r="F17" s="5">
        <v>1.0000000000000001E-5</v>
      </c>
      <c r="H17" s="5">
        <v>12</v>
      </c>
      <c r="I17" s="9">
        <v>2.38876</v>
      </c>
      <c r="J17" s="5">
        <f t="shared" si="3"/>
        <v>1.000005994008321</v>
      </c>
      <c r="K17" s="21">
        <f t="shared" si="1"/>
        <v>2.3887743182473171</v>
      </c>
      <c r="L17" s="5">
        <v>10</v>
      </c>
      <c r="M17" s="5">
        <v>1.0000000000000001E-5</v>
      </c>
      <c r="O17" s="5">
        <v>12</v>
      </c>
      <c r="P17" s="9">
        <v>2.3877899999999999</v>
      </c>
      <c r="Q17" s="5">
        <f t="shared" si="4"/>
        <v>1.0000073380134415</v>
      </c>
      <c r="R17" s="21">
        <f t="shared" si="69"/>
        <v>2.3878075216351156</v>
      </c>
      <c r="S17" s="5">
        <v>10</v>
      </c>
      <c r="T17" s="5"/>
      <c r="V17" s="5">
        <v>12</v>
      </c>
      <c r="W17" s="9">
        <v>2.38463</v>
      </c>
      <c r="X17" s="5">
        <f t="shared" si="6"/>
        <v>1.0000073380134415</v>
      </c>
      <c r="Y17" s="21">
        <f t="shared" si="70"/>
        <v>2.3846474984469932</v>
      </c>
      <c r="Z17" s="5">
        <v>10</v>
      </c>
      <c r="AA17" s="5">
        <v>0</v>
      </c>
      <c r="AC17" s="5">
        <v>12</v>
      </c>
      <c r="AD17" s="9">
        <v>2.3873799999999998</v>
      </c>
      <c r="AE17" s="5">
        <f t="shared" si="8"/>
        <v>1.0000035579990398</v>
      </c>
      <c r="AF17" s="21">
        <f t="shared" si="71"/>
        <v>2.3873884942957475</v>
      </c>
      <c r="AG17" s="5">
        <v>10</v>
      </c>
      <c r="AH17" s="5"/>
      <c r="AJ17" s="5">
        <v>12</v>
      </c>
      <c r="AK17" s="9">
        <v>2.3879700000000001</v>
      </c>
      <c r="AL17" s="5">
        <f t="shared" si="10"/>
        <v>1.0000119580310438</v>
      </c>
      <c r="AM17" s="21">
        <f t="shared" si="72"/>
        <v>2.3879985554193919</v>
      </c>
      <c r="AN17" s="5">
        <v>10</v>
      </c>
      <c r="AO17" s="5"/>
      <c r="AQ17" s="5">
        <v>12</v>
      </c>
      <c r="AR17" s="9">
        <v>2.3895</v>
      </c>
      <c r="AS17" s="34">
        <f t="shared" si="12"/>
        <v>1.0000006179878385</v>
      </c>
      <c r="AT17" s="21">
        <f t="shared" si="73"/>
        <v>2.3895014766819398</v>
      </c>
      <c r="AU17" s="5">
        <v>10</v>
      </c>
      <c r="AV17" s="5">
        <v>0</v>
      </c>
      <c r="AX17" s="5">
        <v>12</v>
      </c>
      <c r="AY17" s="9">
        <v>2.38869</v>
      </c>
      <c r="AZ17" s="34">
        <f t="shared" si="14"/>
        <v>1.0000011219897587</v>
      </c>
      <c r="BA17" s="21">
        <f t="shared" si="74"/>
        <v>2.3886926800857164</v>
      </c>
      <c r="BB17" s="5">
        <v>10</v>
      </c>
      <c r="BC17" s="5">
        <v>0</v>
      </c>
      <c r="BE17" s="5">
        <v>12</v>
      </c>
      <c r="BF17" s="9">
        <v>2.3906700000000001</v>
      </c>
      <c r="BG17" s="34">
        <f t="shared" si="16"/>
        <v>1.0000064140099212</v>
      </c>
      <c r="BH17" s="21">
        <f t="shared" si="75"/>
        <v>2.3906853337810983</v>
      </c>
      <c r="BI17" s="5">
        <v>10</v>
      </c>
      <c r="BJ17" s="5">
        <v>1.0000000000000001E-5</v>
      </c>
      <c r="BL17" s="5">
        <v>12</v>
      </c>
      <c r="BM17" s="3">
        <v>2.3875099999999998</v>
      </c>
      <c r="BN17" s="34">
        <f t="shared" si="18"/>
        <v>1.0000033479982398</v>
      </c>
      <c r="BO17" s="21">
        <f t="shared" si="19"/>
        <v>2.3875179933792774</v>
      </c>
      <c r="BP17" s="5">
        <v>10</v>
      </c>
      <c r="BQ17" s="3">
        <v>1.0000000000000001E-5</v>
      </c>
      <c r="BS17" s="5">
        <v>12</v>
      </c>
      <c r="BT17" s="3">
        <v>2.38795</v>
      </c>
      <c r="BU17" s="34">
        <f t="shared" si="65"/>
        <v>1.0000107400264033</v>
      </c>
      <c r="BV17" s="21">
        <f t="shared" si="20"/>
        <v>2.38797564664605</v>
      </c>
      <c r="BW17" s="5">
        <v>10</v>
      </c>
      <c r="BX17" s="3">
        <v>1.0000000000000001E-5</v>
      </c>
      <c r="BZ17" s="5">
        <v>12</v>
      </c>
      <c r="CA17" s="41">
        <v>2.3868299999999998</v>
      </c>
      <c r="CB17" s="34">
        <f t="shared" si="21"/>
        <v>1.0000057420073609</v>
      </c>
      <c r="CC17" s="21">
        <f t="shared" si="22"/>
        <v>2.386843705195429</v>
      </c>
      <c r="CD17" s="5">
        <v>10</v>
      </c>
      <c r="CE17" s="41">
        <v>1.0000000000000001E-5</v>
      </c>
      <c r="CG17" s="5">
        <v>12</v>
      </c>
      <c r="CH17" s="41">
        <v>2.3868</v>
      </c>
      <c r="CI17" s="34">
        <f t="shared" si="23"/>
        <v>1.000009900023203</v>
      </c>
      <c r="CJ17" s="21">
        <f t="shared" si="24"/>
        <v>2.3868236293753808</v>
      </c>
      <c r="CK17" s="5">
        <v>10</v>
      </c>
      <c r="CL17" s="3">
        <v>1.0000000000000001E-5</v>
      </c>
      <c r="CN17" s="5">
        <v>12</v>
      </c>
      <c r="CO17" s="41">
        <v>2.3864899999999998</v>
      </c>
      <c r="CP17" s="34">
        <f t="shared" si="25"/>
        <v>1.0000010799895986</v>
      </c>
      <c r="CQ17" s="21">
        <f t="shared" si="26"/>
        <v>2.3864925773843773</v>
      </c>
      <c r="CR17" s="5">
        <v>10</v>
      </c>
      <c r="CS17" s="3">
        <v>1.0000000000000001E-5</v>
      </c>
      <c r="CU17" s="5">
        <v>12</v>
      </c>
      <c r="CV17" s="41">
        <v>2.38815</v>
      </c>
      <c r="CW17" s="34">
        <f t="shared" si="27"/>
        <v>1.0000025079950392</v>
      </c>
      <c r="CX17" s="21">
        <f t="shared" si="28"/>
        <v>2.3881559894683528</v>
      </c>
      <c r="CY17" s="5">
        <v>10</v>
      </c>
      <c r="CZ17" s="3">
        <v>1.0000000000000001E-5</v>
      </c>
      <c r="DB17" s="5">
        <v>12</v>
      </c>
      <c r="DC17" s="41">
        <v>2.3895200000000001</v>
      </c>
      <c r="DD17" s="34">
        <f t="shared" si="29"/>
        <v>0.99999965198415797</v>
      </c>
      <c r="DE17" s="21">
        <f t="shared" si="30"/>
        <v>2.3895191684091852</v>
      </c>
      <c r="DF17" s="5">
        <v>10</v>
      </c>
      <c r="DG17" s="3">
        <v>0</v>
      </c>
      <c r="DI17" s="5">
        <v>12</v>
      </c>
      <c r="DJ17" s="41">
        <v>2.3889100000000001</v>
      </c>
      <c r="DK17" s="34">
        <f t="shared" si="31"/>
        <v>1.0000034739987198</v>
      </c>
      <c r="DL17" s="21">
        <f t="shared" si="32"/>
        <v>2.3889182990702817</v>
      </c>
      <c r="DM17" s="5">
        <v>10</v>
      </c>
      <c r="DN17" s="3">
        <v>1.0000000000000001E-5</v>
      </c>
      <c r="DP17" s="5">
        <v>12</v>
      </c>
      <c r="DQ17" s="41">
        <v>2.3880400000000002</v>
      </c>
      <c r="DR17" s="34">
        <f t="shared" si="33"/>
        <v>1.0000033479982398</v>
      </c>
      <c r="DS17" s="21">
        <f t="shared" si="34"/>
        <v>2.3880479951537166</v>
      </c>
      <c r="DT17" s="5">
        <v>10</v>
      </c>
      <c r="DU17" s="3">
        <v>1.0000000000000001E-5</v>
      </c>
      <c r="DW17" s="5">
        <v>12</v>
      </c>
      <c r="DX17" s="41">
        <v>2.38924</v>
      </c>
      <c r="DY17" s="34">
        <f t="shared" si="35"/>
        <v>1.0000043980022402</v>
      </c>
      <c r="DZ17" s="21">
        <f t="shared" si="36"/>
        <v>2.3892505078828723</v>
      </c>
      <c r="EA17" s="5">
        <v>10</v>
      </c>
      <c r="EB17" s="3">
        <v>1.0000000000000001E-5</v>
      </c>
      <c r="ED17" s="5">
        <v>12</v>
      </c>
      <c r="EE17" s="41">
        <v>2.3895</v>
      </c>
      <c r="EF17" s="34">
        <f t="shared" si="37"/>
        <v>1.0000106560260833</v>
      </c>
      <c r="EG17" s="21">
        <f t="shared" si="38"/>
        <v>2.3895254625743259</v>
      </c>
      <c r="EH17" s="5">
        <v>10</v>
      </c>
      <c r="EI17" s="3">
        <v>1.0000000000000001E-5</v>
      </c>
      <c r="EK17" s="5">
        <v>12</v>
      </c>
      <c r="EL17" s="41">
        <v>2.3889499999999999</v>
      </c>
      <c r="EM17" s="34">
        <f t="shared" si="39"/>
        <v>1.0000063300096012</v>
      </c>
      <c r="EN17" s="21">
        <f t="shared" si="40"/>
        <v>2.3889651220764367</v>
      </c>
      <c r="EO17" s="5">
        <v>10</v>
      </c>
      <c r="EP17" s="3">
        <v>0</v>
      </c>
      <c r="ER17" s="5">
        <v>12</v>
      </c>
      <c r="ES17" s="41">
        <v>2.3886099999999999</v>
      </c>
      <c r="ET17" s="34">
        <f t="shared" si="41"/>
        <v>1.0000117480302437</v>
      </c>
      <c r="EU17" s="21">
        <f t="shared" si="42"/>
        <v>2.3886380614625202</v>
      </c>
      <c r="EV17" s="5">
        <v>10</v>
      </c>
      <c r="EW17" s="3">
        <v>0</v>
      </c>
      <c r="EY17" s="5">
        <v>12</v>
      </c>
      <c r="EZ17" s="41">
        <v>2.3879899999999998</v>
      </c>
      <c r="FA17" s="34">
        <f t="shared" si="43"/>
        <v>1.0000030119969596</v>
      </c>
      <c r="FB17" s="21">
        <f t="shared" si="44"/>
        <v>2.3879971926186196</v>
      </c>
      <c r="FC17" s="5">
        <v>10</v>
      </c>
      <c r="FD17" s="3">
        <v>1.0000000000000001E-5</v>
      </c>
      <c r="FF17" s="5">
        <v>12</v>
      </c>
      <c r="FG17" s="41">
        <v>2.3885700000000001</v>
      </c>
      <c r="FH17" s="34">
        <f t="shared" si="45"/>
        <v>1.0000025919953595</v>
      </c>
      <c r="FI17" s="21">
        <f t="shared" si="46"/>
        <v>2.3885761911623558</v>
      </c>
      <c r="FJ17" s="5">
        <v>10</v>
      </c>
      <c r="FK17" s="3">
        <v>0</v>
      </c>
      <c r="FM17" s="5">
        <v>12</v>
      </c>
      <c r="FN17" s="41">
        <v>2.3874200000000001</v>
      </c>
      <c r="FO17" s="34">
        <f t="shared" si="47"/>
        <v>1.0000010379894386</v>
      </c>
      <c r="FP17" s="21">
        <f t="shared" si="48"/>
        <v>2.3874224781167457</v>
      </c>
      <c r="FQ17" s="5">
        <v>10</v>
      </c>
      <c r="FR17" s="3">
        <v>0</v>
      </c>
      <c r="FS17" s="15"/>
      <c r="FT17" s="5">
        <v>12</v>
      </c>
      <c r="FU17" s="41">
        <v>2.3889800000000001</v>
      </c>
      <c r="FV17" s="34">
        <f t="shared" si="49"/>
        <v>0.99999931598287772</v>
      </c>
      <c r="FW17" s="21">
        <f t="shared" si="50"/>
        <v>2.3889783658967754</v>
      </c>
      <c r="FX17" s="5">
        <v>10</v>
      </c>
      <c r="FY17" s="3">
        <v>0</v>
      </c>
      <c r="GA17" s="5">
        <v>12</v>
      </c>
      <c r="GB17" s="41">
        <v>2.3891200000000001</v>
      </c>
      <c r="GC17" s="34">
        <f t="shared" si="51"/>
        <v>1.0000012059900787</v>
      </c>
      <c r="GD17" s="21">
        <f t="shared" si="52"/>
        <v>2.3891228812550169</v>
      </c>
      <c r="GE17" s="5">
        <v>10</v>
      </c>
      <c r="GF17" s="3">
        <v>0</v>
      </c>
      <c r="GH17" s="5">
        <v>12</v>
      </c>
      <c r="GI17" s="41">
        <v>2.3889900000000002</v>
      </c>
      <c r="GJ17" s="34">
        <f t="shared" si="53"/>
        <v>1.0000007019881585</v>
      </c>
      <c r="GK17" s="21">
        <f t="shared" si="54"/>
        <v>2.3889916770426911</v>
      </c>
      <c r="GL17" s="5">
        <v>10</v>
      </c>
      <c r="GM17" s="3">
        <v>1.0000000000000001E-5</v>
      </c>
      <c r="GO17" s="5">
        <v>12</v>
      </c>
      <c r="GP17" s="41">
        <v>2.3881600000000001</v>
      </c>
      <c r="GQ17" s="34">
        <f t="shared" si="55"/>
        <v>0.999999735984478</v>
      </c>
      <c r="GR17" s="21">
        <f t="shared" si="56"/>
        <v>2.3881593694886911</v>
      </c>
      <c r="GS17" s="5">
        <v>10</v>
      </c>
      <c r="GT17" s="3">
        <v>0</v>
      </c>
      <c r="GV17" s="5">
        <v>12</v>
      </c>
      <c r="GW17" s="41">
        <v>2.3887999999999998</v>
      </c>
      <c r="GX17" s="34">
        <f t="shared" si="57"/>
        <v>1.0000041670013602</v>
      </c>
      <c r="GY17" s="21">
        <f t="shared" si="58"/>
        <v>2.3888099541328489</v>
      </c>
      <c r="GZ17" s="5">
        <v>10</v>
      </c>
      <c r="HA17" s="3">
        <v>0</v>
      </c>
      <c r="HC17" s="5">
        <v>12</v>
      </c>
      <c r="HD17" s="41">
        <v>2.3874300000000002</v>
      </c>
      <c r="HE17" s="34">
        <f t="shared" si="59"/>
        <v>1.0000089970197623</v>
      </c>
      <c r="HF17" s="21">
        <f t="shared" si="60"/>
        <v>2.3874514797548914</v>
      </c>
      <c r="HG17" s="5">
        <v>10</v>
      </c>
      <c r="HH17" s="3">
        <v>1.0000000000000001E-5</v>
      </c>
      <c r="HJ17" s="5">
        <v>12</v>
      </c>
      <c r="HK17" s="41">
        <v>2.3875799999999998</v>
      </c>
      <c r="HL17" s="34">
        <f t="shared" si="61"/>
        <v>0.99999992498519807</v>
      </c>
      <c r="HM17" s="21">
        <f t="shared" si="62"/>
        <v>2.3875798208961592</v>
      </c>
      <c r="HN17" s="5">
        <v>10</v>
      </c>
      <c r="HO17" s="3">
        <v>1.0000000000000001E-5</v>
      </c>
      <c r="HQ17" s="5">
        <v>12</v>
      </c>
      <c r="HR17" s="41">
        <v>2.3890799999999999</v>
      </c>
      <c r="HS17" s="34">
        <f t="shared" si="63"/>
        <v>1.0000073380134415</v>
      </c>
      <c r="HT17" s="21">
        <f t="shared" si="64"/>
        <v>2.3890975311011529</v>
      </c>
      <c r="HU17" s="5">
        <v>10</v>
      </c>
      <c r="HV17" s="3">
        <v>1.0000000000000001E-5</v>
      </c>
    </row>
    <row r="18" spans="1:230" ht="15.75" x14ac:dyDescent="0.25">
      <c r="A18" s="5">
        <v>13</v>
      </c>
      <c r="B18" s="5">
        <v>2.5160300000000002</v>
      </c>
      <c r="C18" s="5">
        <f t="shared" si="2"/>
        <v>1.0000075060140818</v>
      </c>
      <c r="D18" s="8">
        <f t="shared" si="0"/>
        <v>2.5160488853566108</v>
      </c>
      <c r="E18" s="5">
        <v>10</v>
      </c>
      <c r="F18" s="5">
        <v>1.0000000000000001E-5</v>
      </c>
      <c r="H18" s="5">
        <v>13</v>
      </c>
      <c r="I18" s="9">
        <v>2.51444</v>
      </c>
      <c r="J18" s="5">
        <f t="shared" si="3"/>
        <v>1.000005994008321</v>
      </c>
      <c r="K18" s="21">
        <f t="shared" si="1"/>
        <v>2.5144550715742828</v>
      </c>
      <c r="L18" s="5">
        <v>10</v>
      </c>
      <c r="M18" s="9">
        <v>0</v>
      </c>
      <c r="O18" s="5">
        <v>13</v>
      </c>
      <c r="P18" s="9">
        <v>2.51349</v>
      </c>
      <c r="Q18" s="5">
        <f t="shared" si="4"/>
        <v>1.0000073380134415</v>
      </c>
      <c r="R18" s="21">
        <f t="shared" si="69"/>
        <v>2.513508444023405</v>
      </c>
      <c r="S18" s="5">
        <v>10</v>
      </c>
      <c r="T18" s="9"/>
      <c r="V18" s="5">
        <v>13</v>
      </c>
      <c r="W18" s="9">
        <v>2.5103200000000001</v>
      </c>
      <c r="X18" s="5">
        <f t="shared" si="6"/>
        <v>1.0000073380134415</v>
      </c>
      <c r="Y18" s="21">
        <f t="shared" si="70"/>
        <v>2.5103384207619026</v>
      </c>
      <c r="Z18" s="5">
        <v>10</v>
      </c>
      <c r="AA18" s="9">
        <v>1.0000000000000001E-5</v>
      </c>
      <c r="AC18" s="5">
        <v>13</v>
      </c>
      <c r="AD18" s="9">
        <v>2.51309</v>
      </c>
      <c r="AE18" s="5">
        <f t="shared" si="8"/>
        <v>1.0000035579990398</v>
      </c>
      <c r="AF18" s="21">
        <f t="shared" si="71"/>
        <v>2.513098941571807</v>
      </c>
      <c r="AG18" s="5">
        <v>10</v>
      </c>
      <c r="AH18" s="9"/>
      <c r="AJ18" s="5">
        <v>13</v>
      </c>
      <c r="AK18" s="9">
        <v>2.5136699999999998</v>
      </c>
      <c r="AL18" s="5">
        <f t="shared" si="10"/>
        <v>1.0000119580310438</v>
      </c>
      <c r="AM18" s="21">
        <f t="shared" si="72"/>
        <v>2.5137000585438938</v>
      </c>
      <c r="AN18" s="5">
        <v>10</v>
      </c>
      <c r="AO18" s="9"/>
      <c r="AQ18" s="5">
        <v>13</v>
      </c>
      <c r="AR18" s="9">
        <v>2.51519</v>
      </c>
      <c r="AS18" s="34">
        <f t="shared" si="12"/>
        <v>1.0000006179878385</v>
      </c>
      <c r="AT18" s="21">
        <f t="shared" si="73"/>
        <v>2.5151915543568313</v>
      </c>
      <c r="AU18" s="5">
        <v>10</v>
      </c>
      <c r="AV18" s="9">
        <v>1.0000000000000001E-5</v>
      </c>
      <c r="AX18" s="5">
        <v>13</v>
      </c>
      <c r="AY18" s="9">
        <v>2.5145300000000002</v>
      </c>
      <c r="AZ18" s="34">
        <f t="shared" si="14"/>
        <v>1.0000011219897587</v>
      </c>
      <c r="BA18" s="21">
        <f t="shared" si="74"/>
        <v>2.5145328212769078</v>
      </c>
      <c r="BB18" s="5">
        <v>10</v>
      </c>
      <c r="BC18" s="9">
        <v>0</v>
      </c>
      <c r="BE18" s="5">
        <v>13</v>
      </c>
      <c r="BF18" s="9">
        <v>2.5164599999999999</v>
      </c>
      <c r="BG18" s="34">
        <f t="shared" si="16"/>
        <v>1.0000064140099212</v>
      </c>
      <c r="BH18" s="21">
        <f t="shared" si="75"/>
        <v>2.5164761405994063</v>
      </c>
      <c r="BI18" s="5">
        <v>10</v>
      </c>
      <c r="BJ18" s="9">
        <v>1.0000000000000001E-5</v>
      </c>
      <c r="BL18" s="5">
        <v>13</v>
      </c>
      <c r="BM18" s="3">
        <v>2.5133800000000002</v>
      </c>
      <c r="BN18" s="34">
        <f t="shared" si="18"/>
        <v>1.0000033479982398</v>
      </c>
      <c r="BO18" s="21">
        <f t="shared" si="19"/>
        <v>2.513388414791816</v>
      </c>
      <c r="BP18" s="5">
        <v>10</v>
      </c>
      <c r="BQ18" s="3">
        <v>1.0000000000000001E-5</v>
      </c>
      <c r="BS18" s="5">
        <v>13</v>
      </c>
      <c r="BT18" s="3">
        <v>2.51376</v>
      </c>
      <c r="BU18" s="34">
        <f t="shared" si="65"/>
        <v>1.0000107400264033</v>
      </c>
      <c r="BV18" s="21">
        <f t="shared" si="20"/>
        <v>2.5137869978487717</v>
      </c>
      <c r="BW18" s="5">
        <v>10</v>
      </c>
      <c r="BX18" s="3">
        <v>1.0000000000000001E-5</v>
      </c>
      <c r="BZ18" s="5">
        <v>13</v>
      </c>
      <c r="CA18" s="41">
        <v>2.5127100000000002</v>
      </c>
      <c r="CB18" s="34">
        <f t="shared" si="21"/>
        <v>1.0000057420073609</v>
      </c>
      <c r="CC18" s="21">
        <f t="shared" si="22"/>
        <v>2.5127244279993159</v>
      </c>
      <c r="CD18" s="5">
        <v>10</v>
      </c>
      <c r="CE18" s="41">
        <v>1.0000000000000001E-5</v>
      </c>
      <c r="CG18" s="5">
        <v>13</v>
      </c>
      <c r="CH18" s="41">
        <v>2.5126300000000001</v>
      </c>
      <c r="CI18" s="34">
        <f t="shared" si="23"/>
        <v>1.000009900023203</v>
      </c>
      <c r="CJ18" s="21">
        <f t="shared" si="24"/>
        <v>2.5126548750953006</v>
      </c>
      <c r="CK18" s="5">
        <v>10</v>
      </c>
      <c r="CL18" s="3">
        <v>1.0000000000000001E-5</v>
      </c>
      <c r="CN18" s="5">
        <v>13</v>
      </c>
      <c r="CO18" s="41">
        <v>2.5123500000000001</v>
      </c>
      <c r="CP18" s="34">
        <f t="shared" si="25"/>
        <v>1.0000010799895986</v>
      </c>
      <c r="CQ18" s="21">
        <f t="shared" si="26"/>
        <v>2.5123527133118682</v>
      </c>
      <c r="CR18" s="5">
        <v>10</v>
      </c>
      <c r="CS18" s="3">
        <v>1.0000000000000001E-5</v>
      </c>
      <c r="CU18" s="5">
        <v>13</v>
      </c>
      <c r="CV18" s="41">
        <v>2.5139399999999998</v>
      </c>
      <c r="CW18" s="34">
        <f t="shared" si="27"/>
        <v>1.0000025079950392</v>
      </c>
      <c r="CX18" s="21">
        <f t="shared" si="28"/>
        <v>2.5139463049490489</v>
      </c>
      <c r="CY18" s="5">
        <v>10</v>
      </c>
      <c r="CZ18" s="3">
        <v>1.0000000000000001E-5</v>
      </c>
      <c r="DB18" s="5">
        <v>13</v>
      </c>
      <c r="DC18" s="41">
        <v>2.5153400000000001</v>
      </c>
      <c r="DD18" s="34">
        <f t="shared" si="29"/>
        <v>0.99999965198415797</v>
      </c>
      <c r="DE18" s="21">
        <f t="shared" si="30"/>
        <v>2.515339124621832</v>
      </c>
      <c r="DF18" s="5">
        <v>10</v>
      </c>
      <c r="DG18" s="3">
        <v>0</v>
      </c>
      <c r="DI18" s="5">
        <v>13</v>
      </c>
      <c r="DJ18" s="41">
        <v>2.5146999999999999</v>
      </c>
      <c r="DK18" s="34">
        <f t="shared" si="31"/>
        <v>1.0000034739987198</v>
      </c>
      <c r="DL18" s="21">
        <f t="shared" si="32"/>
        <v>2.5147087360645806</v>
      </c>
      <c r="DM18" s="5">
        <v>10</v>
      </c>
      <c r="DN18" s="3">
        <v>1.0000000000000001E-5</v>
      </c>
      <c r="DP18" s="5">
        <v>13</v>
      </c>
      <c r="DQ18" s="41">
        <v>2.5138500000000001</v>
      </c>
      <c r="DR18" s="34">
        <f t="shared" si="33"/>
        <v>1.0000033479982398</v>
      </c>
      <c r="DS18" s="21">
        <f t="shared" si="34"/>
        <v>2.513858416365375</v>
      </c>
      <c r="DT18" s="5">
        <v>10</v>
      </c>
      <c r="DU18" s="3">
        <v>1.0000000000000001E-5</v>
      </c>
      <c r="DW18" s="5">
        <v>13</v>
      </c>
      <c r="DX18" s="41">
        <v>2.5150800000000002</v>
      </c>
      <c r="DY18" s="34">
        <f t="shared" si="35"/>
        <v>1.0000043980022402</v>
      </c>
      <c r="DZ18" s="21">
        <f t="shared" si="36"/>
        <v>2.5150910613274746</v>
      </c>
      <c r="EA18" s="5">
        <v>10</v>
      </c>
      <c r="EB18" s="3">
        <v>1.0000000000000001E-5</v>
      </c>
      <c r="ED18" s="5">
        <v>13</v>
      </c>
      <c r="EE18" s="41">
        <v>2.5153599999999998</v>
      </c>
      <c r="EF18" s="34">
        <f t="shared" si="37"/>
        <v>1.0000106560260833</v>
      </c>
      <c r="EG18" s="21">
        <f t="shared" si="38"/>
        <v>2.5153868037417686</v>
      </c>
      <c r="EH18" s="5">
        <v>10</v>
      </c>
      <c r="EI18" s="3">
        <v>1.0000000000000001E-5</v>
      </c>
      <c r="EK18" s="5">
        <v>13</v>
      </c>
      <c r="EL18" s="41">
        <v>2.5147900000000001</v>
      </c>
      <c r="EM18" s="34">
        <f t="shared" si="39"/>
        <v>1.0000063300096012</v>
      </c>
      <c r="EN18" s="21">
        <f t="shared" si="40"/>
        <v>2.514805918644845</v>
      </c>
      <c r="EO18" s="5">
        <v>10</v>
      </c>
      <c r="EP18" s="3">
        <v>1.0000000000000001E-5</v>
      </c>
      <c r="ER18" s="5">
        <v>13</v>
      </c>
      <c r="ES18" s="41">
        <v>2.5144199999999999</v>
      </c>
      <c r="ET18" s="34">
        <f t="shared" si="41"/>
        <v>1.0000117480302437</v>
      </c>
      <c r="EU18" s="21">
        <f t="shared" si="42"/>
        <v>2.5144495394822055</v>
      </c>
      <c r="EV18" s="5">
        <v>10</v>
      </c>
      <c r="EW18" s="3">
        <v>1.0000000000000001E-5</v>
      </c>
      <c r="EY18" s="5">
        <v>13</v>
      </c>
      <c r="EZ18" s="41">
        <v>2.51383</v>
      </c>
      <c r="FA18" s="34">
        <f t="shared" si="43"/>
        <v>1.0000030119969596</v>
      </c>
      <c r="FB18" s="21">
        <f t="shared" si="44"/>
        <v>2.5138375716483172</v>
      </c>
      <c r="FC18" s="5">
        <v>10</v>
      </c>
      <c r="FD18" s="3">
        <v>1.0000000000000001E-5</v>
      </c>
      <c r="FF18" s="5">
        <v>13</v>
      </c>
      <c r="FG18" s="41">
        <v>2.5144500000000001</v>
      </c>
      <c r="FH18" s="34">
        <f t="shared" si="45"/>
        <v>1.0000025919953595</v>
      </c>
      <c r="FI18" s="21">
        <f t="shared" si="46"/>
        <v>2.5144565174427318</v>
      </c>
      <c r="FJ18" s="5">
        <v>10</v>
      </c>
      <c r="FK18" s="3">
        <v>1.0000000000000001E-5</v>
      </c>
      <c r="FM18" s="5">
        <v>13</v>
      </c>
      <c r="FN18" s="41">
        <v>2.5133200000000002</v>
      </c>
      <c r="FO18" s="34">
        <f t="shared" si="47"/>
        <v>1.0000010379894386</v>
      </c>
      <c r="FP18" s="21">
        <f t="shared" si="48"/>
        <v>2.5133226087996161</v>
      </c>
      <c r="FQ18" s="5">
        <v>10</v>
      </c>
      <c r="FR18" s="3">
        <v>1.0000000000000001E-5</v>
      </c>
      <c r="FS18" s="15"/>
      <c r="FT18" s="5">
        <v>13</v>
      </c>
      <c r="FU18" s="41">
        <v>2.51485</v>
      </c>
      <c r="FV18" s="34">
        <f t="shared" si="49"/>
        <v>0.99999931598287772</v>
      </c>
      <c r="FW18" s="21">
        <f t="shared" si="50"/>
        <v>2.5148482797995402</v>
      </c>
      <c r="FX18" s="5">
        <v>10</v>
      </c>
      <c r="FY18" s="3">
        <v>0</v>
      </c>
      <c r="GA18" s="5">
        <v>13</v>
      </c>
      <c r="GB18" s="41">
        <v>2.51498</v>
      </c>
      <c r="GC18" s="34">
        <f t="shared" si="51"/>
        <v>1.0000012059900787</v>
      </c>
      <c r="GD18" s="21">
        <f t="shared" si="52"/>
        <v>2.5149830330409282</v>
      </c>
      <c r="GE18" s="5">
        <v>10</v>
      </c>
      <c r="GF18" s="3">
        <v>1.0000000000000001E-5</v>
      </c>
      <c r="GH18" s="5">
        <v>13</v>
      </c>
      <c r="GI18" s="41">
        <v>2.5148000000000001</v>
      </c>
      <c r="GJ18" s="34">
        <f t="shared" si="53"/>
        <v>1.0000007019881585</v>
      </c>
      <c r="GK18" s="21">
        <f t="shared" si="54"/>
        <v>2.5148017653598211</v>
      </c>
      <c r="GL18" s="5">
        <v>10</v>
      </c>
      <c r="GM18" s="3">
        <v>1.0000000000000001E-5</v>
      </c>
      <c r="GO18" s="5">
        <v>13</v>
      </c>
      <c r="GP18" s="41">
        <v>2.51403</v>
      </c>
      <c r="GQ18" s="34">
        <f t="shared" si="55"/>
        <v>0.999999735984478</v>
      </c>
      <c r="GR18" s="21">
        <f t="shared" si="56"/>
        <v>2.5140293362570572</v>
      </c>
      <c r="GS18" s="5">
        <v>10</v>
      </c>
      <c r="GT18" s="3">
        <v>0</v>
      </c>
      <c r="GV18" s="5">
        <v>13</v>
      </c>
      <c r="GW18" s="41">
        <v>2.5146799999999998</v>
      </c>
      <c r="GX18" s="34">
        <f t="shared" si="57"/>
        <v>1.0000041670013602</v>
      </c>
      <c r="GY18" s="21">
        <f t="shared" si="58"/>
        <v>2.5146904786749804</v>
      </c>
      <c r="GZ18" s="5">
        <v>10</v>
      </c>
      <c r="HA18" s="3">
        <v>1.0000000000000001E-5</v>
      </c>
      <c r="HC18" s="5">
        <v>13</v>
      </c>
      <c r="HD18" s="41">
        <v>2.51328</v>
      </c>
      <c r="HE18" s="34">
        <f t="shared" si="59"/>
        <v>1.0000089970197623</v>
      </c>
      <c r="HF18" s="21">
        <f t="shared" si="60"/>
        <v>2.5133026120298281</v>
      </c>
      <c r="HG18" s="5">
        <v>10</v>
      </c>
      <c r="HH18" s="3">
        <v>0</v>
      </c>
      <c r="HJ18" s="5">
        <v>13</v>
      </c>
      <c r="HK18" s="41">
        <v>2.5134699999999999</v>
      </c>
      <c r="HL18" s="34">
        <f t="shared" si="61"/>
        <v>0.99999992498519807</v>
      </c>
      <c r="HM18" s="21">
        <f t="shared" si="62"/>
        <v>2.5134698114525458</v>
      </c>
      <c r="HN18" s="5">
        <v>10</v>
      </c>
      <c r="HO18" s="3">
        <v>1.0000000000000001E-5</v>
      </c>
      <c r="HQ18" s="5">
        <v>13</v>
      </c>
      <c r="HR18" s="41">
        <v>2.5149599999999999</v>
      </c>
      <c r="HS18" s="34">
        <f t="shared" si="63"/>
        <v>1.0000073380134415</v>
      </c>
      <c r="HT18" s="21">
        <f t="shared" si="64"/>
        <v>2.5149784548102847</v>
      </c>
      <c r="HU18" s="5">
        <v>10</v>
      </c>
      <c r="HV18" s="3">
        <v>1.0000000000000001E-5</v>
      </c>
    </row>
    <row r="19" spans="1:230" ht="15.75" x14ac:dyDescent="0.25">
      <c r="A19" s="5">
        <v>14</v>
      </c>
      <c r="B19" s="5">
        <v>2.6454900000000001</v>
      </c>
      <c r="C19" s="5">
        <f t="shared" si="2"/>
        <v>1.0000075060140818</v>
      </c>
      <c r="D19" s="8">
        <f t="shared" si="0"/>
        <v>2.6455098570851936</v>
      </c>
      <c r="E19" s="5">
        <v>10</v>
      </c>
      <c r="F19" s="5">
        <v>1.0000000000000001E-5</v>
      </c>
      <c r="H19" s="5">
        <v>14</v>
      </c>
      <c r="I19" s="9">
        <v>2.6442800000000002</v>
      </c>
      <c r="J19" s="5">
        <f t="shared" si="3"/>
        <v>1.000005994008321</v>
      </c>
      <c r="K19" s="21">
        <f t="shared" si="1"/>
        <v>2.6442958498363232</v>
      </c>
      <c r="L19" s="5">
        <v>10</v>
      </c>
      <c r="M19" s="5">
        <v>1.0000000000000001E-5</v>
      </c>
      <c r="O19" s="5">
        <v>14</v>
      </c>
      <c r="P19" s="9">
        <v>2.6433399999999998</v>
      </c>
      <c r="Q19" s="5">
        <f t="shared" si="4"/>
        <v>1.0000073380134415</v>
      </c>
      <c r="R19" s="21">
        <f t="shared" si="69"/>
        <v>2.6433593968644504</v>
      </c>
      <c r="S19" s="5">
        <v>10</v>
      </c>
      <c r="T19" s="5"/>
      <c r="V19" s="5">
        <v>14</v>
      </c>
      <c r="W19" s="9">
        <v>2.6401699999999999</v>
      </c>
      <c r="X19" s="5">
        <f t="shared" si="6"/>
        <v>1.0000073380134415</v>
      </c>
      <c r="Y19" s="21">
        <f t="shared" si="70"/>
        <v>2.640189373602948</v>
      </c>
      <c r="Z19" s="5">
        <v>10</v>
      </c>
      <c r="AA19" s="5">
        <v>0</v>
      </c>
      <c r="AC19" s="5">
        <v>14</v>
      </c>
      <c r="AD19" s="9">
        <v>2.6429399999999998</v>
      </c>
      <c r="AE19" s="5">
        <f t="shared" si="8"/>
        <v>1.0000035579990398</v>
      </c>
      <c r="AF19" s="21">
        <f t="shared" si="71"/>
        <v>2.6429494035779824</v>
      </c>
      <c r="AG19" s="5">
        <v>10</v>
      </c>
      <c r="AH19" s="5"/>
      <c r="AJ19" s="5">
        <v>14</v>
      </c>
      <c r="AK19" s="9">
        <v>2.6434600000000001</v>
      </c>
      <c r="AL19" s="5">
        <f t="shared" si="10"/>
        <v>1.0000119580310438</v>
      </c>
      <c r="AM19" s="21">
        <f t="shared" si="72"/>
        <v>2.6434916105767434</v>
      </c>
      <c r="AN19" s="5">
        <v>10</v>
      </c>
      <c r="AO19" s="5"/>
      <c r="AQ19" s="5">
        <v>14</v>
      </c>
      <c r="AR19" s="9">
        <v>2.64499</v>
      </c>
      <c r="AS19" s="34">
        <f t="shared" si="12"/>
        <v>1.0000006179878385</v>
      </c>
      <c r="AT19" s="21">
        <f t="shared" si="73"/>
        <v>2.6449916345716527</v>
      </c>
      <c r="AU19" s="5">
        <v>10</v>
      </c>
      <c r="AV19" s="5">
        <v>1.0000000000000001E-5</v>
      </c>
      <c r="AX19" s="5">
        <v>14</v>
      </c>
      <c r="AY19" s="9">
        <v>2.6442999999999999</v>
      </c>
      <c r="AZ19" s="34">
        <f t="shared" si="14"/>
        <v>1.0000011219897587</v>
      </c>
      <c r="BA19" s="21">
        <f t="shared" si="74"/>
        <v>2.6443029668775186</v>
      </c>
      <c r="BB19" s="5">
        <v>10</v>
      </c>
      <c r="BC19" s="5">
        <v>0</v>
      </c>
      <c r="BE19" s="5">
        <v>14</v>
      </c>
      <c r="BF19" s="9">
        <v>2.64622</v>
      </c>
      <c r="BG19" s="34">
        <f t="shared" si="16"/>
        <v>1.0000064140099212</v>
      </c>
      <c r="BH19" s="21">
        <f t="shared" si="75"/>
        <v>2.6462369728813337</v>
      </c>
      <c r="BI19" s="5">
        <v>10</v>
      </c>
      <c r="BJ19" s="5">
        <v>1.0000000000000001E-5</v>
      </c>
      <c r="BL19" s="5">
        <v>14</v>
      </c>
      <c r="BM19" s="3">
        <v>2.6431399999999998</v>
      </c>
      <c r="BN19" s="34">
        <f t="shared" si="18"/>
        <v>1.0000033479982398</v>
      </c>
      <c r="BO19" s="21">
        <f t="shared" si="19"/>
        <v>2.643148849228067</v>
      </c>
      <c r="BP19" s="5">
        <v>10</v>
      </c>
      <c r="BQ19" s="3">
        <v>0</v>
      </c>
      <c r="BS19" s="5">
        <v>14</v>
      </c>
      <c r="BT19" s="3">
        <v>2.6435599999999999</v>
      </c>
      <c r="BU19" s="34">
        <f t="shared" si="65"/>
        <v>1.0000107400264033</v>
      </c>
      <c r="BV19" s="21">
        <f t="shared" si="20"/>
        <v>2.6435883919041987</v>
      </c>
      <c r="BW19" s="5">
        <v>10</v>
      </c>
      <c r="BX19" s="3">
        <v>1.0000000000000001E-5</v>
      </c>
      <c r="BZ19" s="5">
        <v>14</v>
      </c>
      <c r="CA19" s="41">
        <v>2.6425000000000001</v>
      </c>
      <c r="CB19" s="34">
        <f t="shared" si="21"/>
        <v>1.0000057420073609</v>
      </c>
      <c r="CC19" s="21">
        <f t="shared" si="22"/>
        <v>2.6425151732544512</v>
      </c>
      <c r="CD19" s="5">
        <v>10</v>
      </c>
      <c r="CE19" s="41">
        <v>1.0000000000000001E-5</v>
      </c>
      <c r="CG19" s="5">
        <v>14</v>
      </c>
      <c r="CH19" s="41">
        <v>2.6424099999999999</v>
      </c>
      <c r="CI19" s="34">
        <f t="shared" si="23"/>
        <v>1.000009900023203</v>
      </c>
      <c r="CJ19" s="21">
        <f t="shared" si="24"/>
        <v>2.6424361599203117</v>
      </c>
      <c r="CK19" s="5">
        <v>10</v>
      </c>
      <c r="CL19" s="3">
        <v>1.0000000000000001E-5</v>
      </c>
      <c r="CN19" s="5">
        <v>14</v>
      </c>
      <c r="CO19" s="41">
        <v>2.6421299999999999</v>
      </c>
      <c r="CP19" s="34">
        <f t="shared" si="25"/>
        <v>1.0000010799895986</v>
      </c>
      <c r="CQ19" s="21">
        <f t="shared" si="26"/>
        <v>2.6421328534729183</v>
      </c>
      <c r="CR19" s="5">
        <v>10</v>
      </c>
      <c r="CS19" s="3">
        <v>0</v>
      </c>
      <c r="CU19" s="5">
        <v>14</v>
      </c>
      <c r="CV19" s="41">
        <v>2.6436899999999999</v>
      </c>
      <c r="CW19" s="34">
        <f t="shared" si="27"/>
        <v>1.0000025079950392</v>
      </c>
      <c r="CX19" s="21">
        <f t="shared" si="28"/>
        <v>2.6436966303614051</v>
      </c>
      <c r="CY19" s="5">
        <v>10</v>
      </c>
      <c r="CZ19" s="3">
        <v>1.0000000000000001E-5</v>
      </c>
      <c r="DB19" s="5">
        <v>14</v>
      </c>
      <c r="DC19" s="41">
        <v>2.6451099999999999</v>
      </c>
      <c r="DD19" s="34">
        <f t="shared" si="29"/>
        <v>0.99999965198415797</v>
      </c>
      <c r="DE19" s="21">
        <f t="shared" si="30"/>
        <v>2.6451090794598158</v>
      </c>
      <c r="DF19" s="5">
        <v>10</v>
      </c>
      <c r="DG19" s="3">
        <v>1.0000000000000001E-5</v>
      </c>
      <c r="DI19" s="5">
        <v>14</v>
      </c>
      <c r="DJ19" s="41">
        <v>2.6444399999999999</v>
      </c>
      <c r="DK19" s="34">
        <f t="shared" si="31"/>
        <v>1.0000034739987198</v>
      </c>
      <c r="DL19" s="21">
        <f t="shared" si="32"/>
        <v>2.6444491867811744</v>
      </c>
      <c r="DM19" s="5">
        <v>10</v>
      </c>
      <c r="DN19" s="3">
        <v>0</v>
      </c>
      <c r="DP19" s="5">
        <v>14</v>
      </c>
      <c r="DQ19" s="41">
        <v>2.64357</v>
      </c>
      <c r="DR19" s="34">
        <f t="shared" si="33"/>
        <v>1.0000033479982398</v>
      </c>
      <c r="DS19" s="21">
        <f t="shared" si="34"/>
        <v>2.6435788506677067</v>
      </c>
      <c r="DT19" s="5">
        <v>10</v>
      </c>
      <c r="DU19" s="3">
        <v>1.0000000000000001E-5</v>
      </c>
      <c r="DW19" s="5">
        <v>14</v>
      </c>
      <c r="DX19" s="41">
        <v>2.6448700000000001</v>
      </c>
      <c r="DY19" s="34">
        <f t="shared" si="35"/>
        <v>1.0000043980022402</v>
      </c>
      <c r="DZ19" s="21">
        <f t="shared" si="36"/>
        <v>2.6448816321441848</v>
      </c>
      <c r="EA19" s="5">
        <v>10</v>
      </c>
      <c r="EB19" s="3">
        <v>1.0000000000000001E-5</v>
      </c>
      <c r="ED19" s="5">
        <v>14</v>
      </c>
      <c r="EE19" s="41">
        <v>2.6450800000000001</v>
      </c>
      <c r="EF19" s="34">
        <f t="shared" si="37"/>
        <v>1.0000106560260833</v>
      </c>
      <c r="EG19" s="21">
        <f t="shared" si="38"/>
        <v>2.6451081860414725</v>
      </c>
      <c r="EH19" s="5">
        <v>10</v>
      </c>
      <c r="EI19" s="3">
        <v>1.0000000000000001E-5</v>
      </c>
      <c r="EK19" s="5">
        <v>14</v>
      </c>
      <c r="EL19" s="41">
        <v>2.64453</v>
      </c>
      <c r="EM19" s="34">
        <f t="shared" si="39"/>
        <v>1.0000063300096012</v>
      </c>
      <c r="EN19" s="21">
        <f t="shared" si="40"/>
        <v>2.6445467399002904</v>
      </c>
      <c r="EO19" s="5">
        <v>10</v>
      </c>
      <c r="EP19" s="3">
        <v>0</v>
      </c>
      <c r="ER19" s="5">
        <v>14</v>
      </c>
      <c r="ES19" s="41">
        <v>2.6442100000000002</v>
      </c>
      <c r="ET19" s="34">
        <f t="shared" si="41"/>
        <v>1.0000117480302437</v>
      </c>
      <c r="EU19" s="21">
        <f t="shared" si="42"/>
        <v>2.644241064259051</v>
      </c>
      <c r="EV19" s="5">
        <v>10</v>
      </c>
      <c r="EW19" s="3">
        <v>1.0000000000000001E-5</v>
      </c>
      <c r="EY19" s="5">
        <v>14</v>
      </c>
      <c r="EZ19" s="41">
        <v>2.64357</v>
      </c>
      <c r="FA19" s="34">
        <f t="shared" si="43"/>
        <v>1.0000030119969596</v>
      </c>
      <c r="FB19" s="21">
        <f t="shared" si="44"/>
        <v>2.6435779624248026</v>
      </c>
      <c r="FC19" s="5">
        <v>10</v>
      </c>
      <c r="FD19" s="3">
        <v>0</v>
      </c>
      <c r="FF19" s="5">
        <v>14</v>
      </c>
      <c r="FG19" s="41">
        <v>2.64412</v>
      </c>
      <c r="FH19" s="34">
        <f t="shared" si="45"/>
        <v>1.0000025919953595</v>
      </c>
      <c r="FI19" s="21">
        <f t="shared" si="46"/>
        <v>2.6441268535467697</v>
      </c>
      <c r="FJ19" s="5">
        <v>10</v>
      </c>
      <c r="FK19" s="3">
        <v>0</v>
      </c>
      <c r="FM19" s="5">
        <v>14</v>
      </c>
      <c r="FN19" s="41">
        <v>2.6430699999999998</v>
      </c>
      <c r="FO19" s="34">
        <f t="shared" si="47"/>
        <v>1.0000010379894386</v>
      </c>
      <c r="FP19" s="21">
        <f t="shared" si="48"/>
        <v>2.6430727434787453</v>
      </c>
      <c r="FQ19" s="5">
        <v>10</v>
      </c>
      <c r="FR19" s="3">
        <v>1.0000000000000001E-5</v>
      </c>
      <c r="FS19" s="15"/>
      <c r="FT19" s="5">
        <v>14</v>
      </c>
      <c r="FU19" s="41">
        <v>2.6446399999999999</v>
      </c>
      <c r="FV19" s="34">
        <f t="shared" si="49"/>
        <v>0.99999931598287772</v>
      </c>
      <c r="FW19" s="21">
        <f t="shared" si="50"/>
        <v>2.6446381910209578</v>
      </c>
      <c r="FX19" s="5">
        <v>10</v>
      </c>
      <c r="FY19" s="3">
        <v>0</v>
      </c>
      <c r="GA19" s="5">
        <v>14</v>
      </c>
      <c r="GB19" s="41">
        <v>2.6447500000000002</v>
      </c>
      <c r="GC19" s="34">
        <f t="shared" si="51"/>
        <v>1.0000012059900787</v>
      </c>
      <c r="GD19" s="21">
        <f t="shared" si="52"/>
        <v>2.6447531895422607</v>
      </c>
      <c r="GE19" s="5">
        <v>10</v>
      </c>
      <c r="GF19" s="3">
        <v>1.0000000000000001E-5</v>
      </c>
      <c r="GH19" s="5">
        <v>14</v>
      </c>
      <c r="GI19" s="41">
        <v>2.6445099999999999</v>
      </c>
      <c r="GJ19" s="34">
        <f t="shared" si="53"/>
        <v>1.0000007019881585</v>
      </c>
      <c r="GK19" s="21">
        <f t="shared" si="54"/>
        <v>2.644511856414705</v>
      </c>
      <c r="GL19" s="5">
        <v>10</v>
      </c>
      <c r="GM19" s="3">
        <v>1.0000000000000001E-5</v>
      </c>
      <c r="GO19" s="5">
        <v>14</v>
      </c>
      <c r="GP19" s="41">
        <v>2.6438199999999998</v>
      </c>
      <c r="GQ19" s="34">
        <f t="shared" si="55"/>
        <v>0.999999735984478</v>
      </c>
      <c r="GR19" s="21">
        <f t="shared" si="56"/>
        <v>2.6438193019904825</v>
      </c>
      <c r="GS19" s="5">
        <v>10</v>
      </c>
      <c r="GT19" s="3">
        <v>0</v>
      </c>
      <c r="GV19" s="5">
        <v>14</v>
      </c>
      <c r="GW19" s="41">
        <v>2.64446</v>
      </c>
      <c r="GX19" s="34">
        <f t="shared" si="57"/>
        <v>1.0000041670013602</v>
      </c>
      <c r="GY19" s="21">
        <f t="shared" si="58"/>
        <v>2.6444710194684169</v>
      </c>
      <c r="GZ19" s="5">
        <v>10</v>
      </c>
      <c r="HA19" s="3">
        <v>1.0000000000000001E-5</v>
      </c>
      <c r="HC19" s="5">
        <v>14</v>
      </c>
      <c r="HD19" s="41">
        <v>2.6431</v>
      </c>
      <c r="HE19" s="34">
        <f t="shared" si="59"/>
        <v>1.0000089970197623</v>
      </c>
      <c r="HF19" s="21">
        <f t="shared" si="60"/>
        <v>2.6431237800229339</v>
      </c>
      <c r="HG19" s="5">
        <v>10</v>
      </c>
      <c r="HH19" s="3">
        <v>1.0000000000000001E-5</v>
      </c>
      <c r="HJ19" s="5">
        <v>14</v>
      </c>
      <c r="HK19" s="41">
        <v>2.64324</v>
      </c>
      <c r="HL19" s="34">
        <f t="shared" si="61"/>
        <v>0.99999992498519807</v>
      </c>
      <c r="HM19" s="21">
        <f t="shared" si="62"/>
        <v>2.6432398017178751</v>
      </c>
      <c r="HN19" s="5">
        <v>10</v>
      </c>
      <c r="HO19" s="3">
        <v>1.0000000000000001E-5</v>
      </c>
      <c r="HQ19" s="5">
        <v>14</v>
      </c>
      <c r="HR19" s="41">
        <v>2.6447099999999999</v>
      </c>
      <c r="HS19" s="34">
        <f t="shared" si="63"/>
        <v>1.0000073380134415</v>
      </c>
      <c r="HT19" s="21">
        <f t="shared" si="64"/>
        <v>2.6447294069175289</v>
      </c>
      <c r="HU19" s="5">
        <v>10</v>
      </c>
      <c r="HV19" s="3">
        <v>0</v>
      </c>
    </row>
    <row r="20" spans="1:230" ht="15.75" x14ac:dyDescent="0.25">
      <c r="A20" s="5">
        <v>15</v>
      </c>
      <c r="B20" s="5">
        <v>2.8744299999999998</v>
      </c>
      <c r="C20" s="5">
        <f>1.00000381*(1+0.00000081*(24.2-19.8))</f>
        <v>1.0000073740135789</v>
      </c>
      <c r="D20" s="8">
        <f t="shared" ref="D20" si="76">B20*C20</f>
        <v>2.8744511960858512</v>
      </c>
      <c r="E20" s="5">
        <v>8</v>
      </c>
      <c r="F20" s="5">
        <v>1.0000000000000001E-5</v>
      </c>
      <c r="H20" s="5">
        <v>15</v>
      </c>
      <c r="I20" s="9">
        <v>2.8729499999999999</v>
      </c>
      <c r="J20" s="5">
        <f t="shared" si="3"/>
        <v>1.000005994008321</v>
      </c>
      <c r="K20" s="21">
        <f t="shared" si="1"/>
        <v>2.8729672204862058</v>
      </c>
      <c r="L20" s="5">
        <v>10</v>
      </c>
      <c r="M20" s="5">
        <v>1.0000000000000001E-5</v>
      </c>
      <c r="O20" s="5">
        <v>15</v>
      </c>
      <c r="P20" s="9">
        <v>2.87202</v>
      </c>
      <c r="Q20" s="5">
        <f t="shared" si="4"/>
        <v>1.0000073380134415</v>
      </c>
      <c r="R20" s="21">
        <f t="shared" si="69"/>
        <v>2.8720410749213645</v>
      </c>
      <c r="S20" s="5">
        <v>10</v>
      </c>
      <c r="T20" s="5"/>
      <c r="V20" s="5">
        <v>15</v>
      </c>
      <c r="W20" s="9">
        <v>2.8688400000000001</v>
      </c>
      <c r="X20" s="5">
        <f t="shared" si="6"/>
        <v>1.0000073380134415</v>
      </c>
      <c r="Y20" s="21">
        <f t="shared" si="70"/>
        <v>2.8688610515864816</v>
      </c>
      <c r="Z20" s="5">
        <v>10</v>
      </c>
      <c r="AA20" s="5">
        <v>1.0000000000000001E-5</v>
      </c>
      <c r="AC20" s="5">
        <v>15</v>
      </c>
      <c r="AD20" s="9">
        <v>2.8715899999999999</v>
      </c>
      <c r="AE20" s="5">
        <f t="shared" si="8"/>
        <v>1.0000035579990398</v>
      </c>
      <c r="AF20" s="21">
        <f t="shared" si="71"/>
        <v>2.8716002171144628</v>
      </c>
      <c r="AG20" s="5">
        <v>10</v>
      </c>
      <c r="AH20" s="5"/>
      <c r="AJ20" s="5">
        <v>15</v>
      </c>
      <c r="AK20" s="9">
        <v>2.87209</v>
      </c>
      <c r="AL20" s="5">
        <f t="shared" si="10"/>
        <v>1.0000119580310438</v>
      </c>
      <c r="AM20" s="21">
        <f t="shared" si="72"/>
        <v>2.8721243445413807</v>
      </c>
      <c r="AN20" s="5">
        <v>10</v>
      </c>
      <c r="AO20" s="5"/>
      <c r="AQ20" s="5">
        <v>15</v>
      </c>
      <c r="AR20" s="9">
        <v>2.87358</v>
      </c>
      <c r="AS20" s="34">
        <f t="shared" si="12"/>
        <v>1.0000006179878385</v>
      </c>
      <c r="AT20" s="21">
        <f t="shared" si="73"/>
        <v>2.8735817758374931</v>
      </c>
      <c r="AU20" s="5">
        <v>10</v>
      </c>
      <c r="AV20" s="5">
        <v>0</v>
      </c>
      <c r="AX20" s="5">
        <v>15</v>
      </c>
      <c r="AY20" s="9">
        <v>2.8727999999999998</v>
      </c>
      <c r="AZ20" s="34">
        <f t="shared" si="14"/>
        <v>1.0000011219897587</v>
      </c>
      <c r="BA20" s="21">
        <f t="shared" si="74"/>
        <v>2.8728032232521783</v>
      </c>
      <c r="BB20" s="5">
        <v>10</v>
      </c>
      <c r="BC20" s="5">
        <v>0</v>
      </c>
      <c r="BE20" s="5">
        <v>15</v>
      </c>
      <c r="BF20" s="9">
        <v>2.8747500000000001</v>
      </c>
      <c r="BG20" s="34">
        <f t="shared" si="16"/>
        <v>1.0000064140099212</v>
      </c>
      <c r="BH20" s="21">
        <f t="shared" si="75"/>
        <v>2.8747684386750212</v>
      </c>
      <c r="BI20" s="5">
        <v>10</v>
      </c>
      <c r="BJ20" s="5">
        <v>1.0000000000000001E-5</v>
      </c>
      <c r="BL20" s="5">
        <v>15</v>
      </c>
      <c r="BM20" s="3">
        <v>2.8717299999999999</v>
      </c>
      <c r="BN20" s="34">
        <f t="shared" si="18"/>
        <v>1.0000033479982398</v>
      </c>
      <c r="BO20" s="21">
        <f t="shared" si="19"/>
        <v>2.8717396145469851</v>
      </c>
      <c r="BP20" s="5">
        <v>10</v>
      </c>
      <c r="BQ20" s="3">
        <v>1.0000000000000001E-5</v>
      </c>
      <c r="BS20" s="5">
        <v>15</v>
      </c>
      <c r="BT20" s="3">
        <v>2.8721100000000002</v>
      </c>
      <c r="BU20" s="34">
        <f t="shared" si="65"/>
        <v>1.0000107400264033</v>
      </c>
      <c r="BV20" s="21">
        <f t="shared" si="20"/>
        <v>2.8721408465372336</v>
      </c>
      <c r="BW20" s="5">
        <v>10</v>
      </c>
      <c r="BX20" s="3">
        <v>1.0000000000000001E-5</v>
      </c>
      <c r="BZ20" s="5">
        <v>15</v>
      </c>
      <c r="CA20" s="41">
        <v>2.87107</v>
      </c>
      <c r="CB20" s="34">
        <f>1.00000381*(1+0.00000084*($CB$5-19.8))</f>
        <v>1.0000057420073609</v>
      </c>
      <c r="CC20" s="21">
        <f t="shared" si="22"/>
        <v>2.8710864857050735</v>
      </c>
      <c r="CD20" s="5">
        <v>10</v>
      </c>
      <c r="CE20" s="41">
        <v>1.0000000000000001E-5</v>
      </c>
      <c r="CG20" s="5">
        <v>15</v>
      </c>
      <c r="CH20" s="41">
        <v>2.871</v>
      </c>
      <c r="CI20" s="34">
        <f t="shared" si="23"/>
        <v>1.000009900023203</v>
      </c>
      <c r="CJ20" s="21">
        <f t="shared" si="24"/>
        <v>2.8710284229666159</v>
      </c>
      <c r="CK20" s="5">
        <v>10</v>
      </c>
      <c r="CL20" s="3">
        <v>1.0000000000000001E-5</v>
      </c>
      <c r="CN20" s="5">
        <v>15</v>
      </c>
      <c r="CO20" s="41">
        <v>2.8706999999999998</v>
      </c>
      <c r="CP20" s="34">
        <f t="shared" si="25"/>
        <v>1.0000010799895986</v>
      </c>
      <c r="CQ20" s="21">
        <f t="shared" si="26"/>
        <v>2.8707031003261405</v>
      </c>
      <c r="CR20" s="5">
        <v>10</v>
      </c>
      <c r="CS20" s="3">
        <v>1.0000000000000001E-5</v>
      </c>
      <c r="CU20" s="5">
        <v>15</v>
      </c>
      <c r="CV20" s="41">
        <v>2.8722799999999999</v>
      </c>
      <c r="CW20" s="34">
        <f t="shared" si="27"/>
        <v>1.0000025079950392</v>
      </c>
      <c r="CX20" s="21">
        <f t="shared" si="28"/>
        <v>2.872287203663991</v>
      </c>
      <c r="CY20" s="5">
        <v>10</v>
      </c>
      <c r="CZ20" s="3">
        <v>1.0000000000000001E-5</v>
      </c>
      <c r="DB20" s="5">
        <v>15</v>
      </c>
      <c r="DC20" s="41">
        <v>2.8736000000000002</v>
      </c>
      <c r="DD20" s="34">
        <f t="shared" si="29"/>
        <v>0.99999965198415797</v>
      </c>
      <c r="DE20" s="21">
        <f t="shared" si="30"/>
        <v>2.8735989999416764</v>
      </c>
      <c r="DF20" s="5">
        <v>10</v>
      </c>
      <c r="DG20" s="3">
        <v>1.0000000000000001E-5</v>
      </c>
      <c r="DI20" s="5">
        <v>15</v>
      </c>
      <c r="DJ20" s="41">
        <v>2.87296</v>
      </c>
      <c r="DK20" s="34">
        <f t="shared" si="31"/>
        <v>1.0000034739987198</v>
      </c>
      <c r="DL20" s="21">
        <f t="shared" si="32"/>
        <v>2.872969980659362</v>
      </c>
      <c r="DM20" s="5">
        <v>10</v>
      </c>
      <c r="DN20" s="3">
        <v>1.0000000000000001E-5</v>
      </c>
      <c r="DP20" s="5">
        <v>15</v>
      </c>
      <c r="DQ20" s="41">
        <v>2.87215</v>
      </c>
      <c r="DR20" s="34">
        <f t="shared" si="33"/>
        <v>1.0000033479982398</v>
      </c>
      <c r="DS20" s="21">
        <f t="shared" si="34"/>
        <v>2.8721596159531444</v>
      </c>
      <c r="DT20" s="5">
        <v>10</v>
      </c>
      <c r="DU20" s="3">
        <v>1.0000000000000001E-5</v>
      </c>
      <c r="DW20" s="5">
        <v>15</v>
      </c>
      <c r="DX20" s="41">
        <v>2.8734199999999999</v>
      </c>
      <c r="DY20" s="34">
        <f t="shared" si="35"/>
        <v>1.0000043980022402</v>
      </c>
      <c r="DZ20" s="21">
        <f t="shared" si="36"/>
        <v>2.8734326373075967</v>
      </c>
      <c r="EA20" s="5">
        <v>10</v>
      </c>
      <c r="EB20" s="3">
        <v>1.0000000000000001E-5</v>
      </c>
      <c r="ED20" s="5">
        <v>15</v>
      </c>
      <c r="EE20" s="41">
        <v>2.8736799999999998</v>
      </c>
      <c r="EF20" s="34">
        <f t="shared" si="37"/>
        <v>1.0000106560260833</v>
      </c>
      <c r="EG20" s="21">
        <f t="shared" si="38"/>
        <v>2.8737106220090349</v>
      </c>
      <c r="EH20" s="5">
        <v>10</v>
      </c>
      <c r="EI20" s="3">
        <v>0</v>
      </c>
      <c r="EK20" s="5">
        <v>15</v>
      </c>
      <c r="EL20" s="41">
        <v>2.8731200000000001</v>
      </c>
      <c r="EM20" s="34">
        <f t="shared" si="39"/>
        <v>1.0000063300096012</v>
      </c>
      <c r="EN20" s="21">
        <f t="shared" si="40"/>
        <v>2.8731381868771853</v>
      </c>
      <c r="EO20" s="5">
        <v>10</v>
      </c>
      <c r="EP20" s="3">
        <v>0</v>
      </c>
      <c r="ER20" s="5">
        <v>15</v>
      </c>
      <c r="ES20" s="41">
        <v>2.8727499999999999</v>
      </c>
      <c r="ET20" s="34">
        <f t="shared" si="41"/>
        <v>1.0000117480302437</v>
      </c>
      <c r="EU20" s="21">
        <f t="shared" si="42"/>
        <v>2.8727837491538826</v>
      </c>
      <c r="EV20" s="5">
        <v>10</v>
      </c>
      <c r="EW20" s="3">
        <v>0</v>
      </c>
      <c r="EY20" s="5">
        <v>15</v>
      </c>
      <c r="EZ20" s="41">
        <v>2.87208</v>
      </c>
      <c r="FA20" s="34">
        <f t="shared" si="43"/>
        <v>1.0000030119969596</v>
      </c>
      <c r="FB20" s="21">
        <f t="shared" si="44"/>
        <v>2.8720886506962278</v>
      </c>
      <c r="FC20" s="5">
        <v>10</v>
      </c>
      <c r="FD20" s="3">
        <v>1.0000000000000001E-5</v>
      </c>
      <c r="FF20" s="5">
        <v>15</v>
      </c>
      <c r="FG20" s="41">
        <v>2.8726600000000002</v>
      </c>
      <c r="FH20" s="34">
        <f t="shared" si="45"/>
        <v>1.0000025919953595</v>
      </c>
      <c r="FI20" s="21">
        <f t="shared" si="46"/>
        <v>2.8726674459213895</v>
      </c>
      <c r="FJ20" s="5">
        <v>10</v>
      </c>
      <c r="FK20" s="3">
        <v>1.0000000000000001E-5</v>
      </c>
      <c r="FM20" s="5">
        <v>15</v>
      </c>
      <c r="FN20" s="41">
        <v>2.8714900000000001</v>
      </c>
      <c r="FO20" s="34">
        <f t="shared" si="47"/>
        <v>1.0000010379894386</v>
      </c>
      <c r="FP20" s="21">
        <f t="shared" si="48"/>
        <v>2.8714929805762934</v>
      </c>
      <c r="FQ20" s="5">
        <v>10</v>
      </c>
      <c r="FR20" s="3">
        <v>0</v>
      </c>
      <c r="FS20" s="15"/>
      <c r="FT20" s="5">
        <v>15</v>
      </c>
      <c r="FU20" s="41">
        <v>2.8730500000000001</v>
      </c>
      <c r="FV20" s="34">
        <f t="shared" si="49"/>
        <v>0.99999931598287772</v>
      </c>
      <c r="FW20" s="21">
        <f t="shared" si="50"/>
        <v>2.873048034784607</v>
      </c>
      <c r="FX20" s="5">
        <v>10</v>
      </c>
      <c r="FY20" s="3">
        <v>0</v>
      </c>
      <c r="GA20" s="5">
        <v>15</v>
      </c>
      <c r="GB20" s="41">
        <v>2.8731200000000001</v>
      </c>
      <c r="GC20" s="34">
        <f t="shared" si="51"/>
        <v>1.0000012059900787</v>
      </c>
      <c r="GD20" s="21">
        <f t="shared" si="52"/>
        <v>2.8731234649542152</v>
      </c>
      <c r="GE20" s="5">
        <v>10</v>
      </c>
      <c r="GF20" s="3">
        <v>0</v>
      </c>
      <c r="GH20" s="5">
        <v>15</v>
      </c>
      <c r="GI20" s="41">
        <v>2.8729399999999998</v>
      </c>
      <c r="GJ20" s="34">
        <f t="shared" si="53"/>
        <v>1.0000007019881585</v>
      </c>
      <c r="GK20" s="21">
        <f t="shared" si="54"/>
        <v>2.8729420167698598</v>
      </c>
      <c r="GL20" s="5">
        <v>10</v>
      </c>
      <c r="GM20" s="3">
        <v>1.0000000000000001E-5</v>
      </c>
      <c r="GO20" s="5">
        <v>15</v>
      </c>
      <c r="GP20" s="41">
        <v>2.8722699999999999</v>
      </c>
      <c r="GQ20" s="34">
        <f t="shared" si="55"/>
        <v>0.999999735984478</v>
      </c>
      <c r="GR20" s="21">
        <f t="shared" si="56"/>
        <v>2.8722692416761366</v>
      </c>
      <c r="GS20" s="5">
        <v>10</v>
      </c>
      <c r="GT20" s="3">
        <v>1.0000000000000001E-5</v>
      </c>
      <c r="GV20" s="5">
        <v>15</v>
      </c>
      <c r="GW20" s="41">
        <v>2.8728899999999999</v>
      </c>
      <c r="GX20" s="34">
        <f t="shared" si="57"/>
        <v>1.0000041670013602</v>
      </c>
      <c r="GY20" s="21">
        <f t="shared" si="58"/>
        <v>2.8729019713365376</v>
      </c>
      <c r="GZ20" s="5">
        <v>10</v>
      </c>
      <c r="HA20" s="3">
        <v>0</v>
      </c>
      <c r="HC20" s="5">
        <v>15</v>
      </c>
      <c r="HD20" s="41">
        <v>2.8715999999999999</v>
      </c>
      <c r="HE20" s="34">
        <f t="shared" si="59"/>
        <v>1.0000089970197623</v>
      </c>
      <c r="HF20" s="21">
        <f t="shared" si="60"/>
        <v>2.8716258358419493</v>
      </c>
      <c r="HG20" s="5">
        <v>10</v>
      </c>
      <c r="HH20" s="3">
        <v>1.0000000000000001E-5</v>
      </c>
      <c r="HJ20" s="5">
        <v>15</v>
      </c>
      <c r="HK20" s="41">
        <v>2.8716300000000001</v>
      </c>
      <c r="HL20" s="34">
        <f t="shared" si="61"/>
        <v>0.99999992498519807</v>
      </c>
      <c r="HM20" s="21">
        <f t="shared" si="62"/>
        <v>2.8716297845852443</v>
      </c>
      <c r="HN20" s="5">
        <v>10</v>
      </c>
      <c r="HO20" s="3">
        <v>1.0000000000000001E-5</v>
      </c>
      <c r="HQ20" s="5">
        <v>15</v>
      </c>
      <c r="HR20" s="41">
        <v>2.8731100000000001</v>
      </c>
      <c r="HS20" s="34">
        <f t="shared" si="63"/>
        <v>1.0000073380134415</v>
      </c>
      <c r="HT20" s="21">
        <f t="shared" si="64"/>
        <v>2.8731310829197989</v>
      </c>
      <c r="HU20" s="5">
        <v>10</v>
      </c>
      <c r="HV20" s="3">
        <v>1.0000000000000001E-5</v>
      </c>
    </row>
    <row r="21" spans="1:230" ht="15.75" x14ac:dyDescent="0.25">
      <c r="A21" s="1"/>
      <c r="B21" s="1"/>
      <c r="C21" s="1"/>
      <c r="D21" s="12"/>
      <c r="E21" s="1" t="s">
        <v>3</v>
      </c>
      <c r="F21" s="1" t="s">
        <v>3</v>
      </c>
      <c r="K21" s="15"/>
      <c r="R21" s="15"/>
      <c r="Y21" s="15"/>
      <c r="AF21" s="15"/>
      <c r="AM21" s="15"/>
      <c r="AT21" s="15"/>
      <c r="BA21" s="15"/>
      <c r="BH21" s="15"/>
      <c r="BO21" s="15"/>
      <c r="BV21" s="15"/>
      <c r="CC21" s="15"/>
      <c r="CJ21" s="15"/>
      <c r="CQ21" s="15"/>
      <c r="CX21" s="15"/>
      <c r="DE21" s="15"/>
      <c r="DL21" s="15"/>
      <c r="DS21" s="15"/>
      <c r="DZ21" s="15"/>
      <c r="EG21" s="15"/>
      <c r="EN21" s="15"/>
      <c r="EU21" s="15"/>
      <c r="FB21" s="15"/>
      <c r="FI21" s="15"/>
      <c r="FP21" s="15"/>
      <c r="FW21" s="15"/>
      <c r="GD21" s="15"/>
      <c r="GK21" s="15"/>
      <c r="GR21" s="15"/>
      <c r="GY21" s="15"/>
      <c r="HF21" s="15"/>
      <c r="HM21" s="15"/>
      <c r="HT21" s="15"/>
    </row>
    <row r="22" spans="1:230" ht="15.75" x14ac:dyDescent="0.25">
      <c r="A22" s="1"/>
      <c r="B22" s="1"/>
      <c r="C22" s="1">
        <v>22.6</v>
      </c>
      <c r="D22" s="12"/>
      <c r="E22" s="1" t="s">
        <v>3</v>
      </c>
      <c r="F22" s="1" t="s">
        <v>3</v>
      </c>
      <c r="H22" s="1"/>
      <c r="I22" s="1"/>
      <c r="J22" s="1">
        <v>23.6</v>
      </c>
      <c r="K22" s="23"/>
      <c r="L22" s="1" t="s">
        <v>3</v>
      </c>
      <c r="M22" s="1" t="s">
        <v>3</v>
      </c>
      <c r="O22" s="1"/>
      <c r="P22" s="1"/>
      <c r="Q22" s="1">
        <v>25.5</v>
      </c>
      <c r="R22" s="23"/>
      <c r="S22" s="1" t="s">
        <v>3</v>
      </c>
      <c r="T22" s="1" t="s">
        <v>3</v>
      </c>
      <c r="V22" s="1"/>
      <c r="W22" s="1"/>
      <c r="X22" s="1">
        <v>25.5</v>
      </c>
      <c r="Y22" s="23"/>
      <c r="Z22" s="1" t="s">
        <v>3</v>
      </c>
      <c r="AA22" s="1" t="s">
        <v>3</v>
      </c>
      <c r="AC22" s="1"/>
      <c r="AD22" s="1"/>
      <c r="AE22" s="1">
        <v>22.7</v>
      </c>
      <c r="AF22" s="23"/>
      <c r="AG22" s="1" t="s">
        <v>3</v>
      </c>
      <c r="AH22" s="1"/>
      <c r="AJ22" s="1"/>
      <c r="AK22" s="1"/>
      <c r="AL22" s="1">
        <v>30.3</v>
      </c>
      <c r="AM22" s="23"/>
      <c r="AN22" s="1" t="s">
        <v>3</v>
      </c>
      <c r="AO22" s="1"/>
      <c r="AQ22" s="1"/>
      <c r="AR22" s="1"/>
      <c r="AS22" s="1">
        <v>18.100000000000001</v>
      </c>
      <c r="AT22" s="23"/>
      <c r="AU22" s="1" t="s">
        <v>3</v>
      </c>
      <c r="AV22" s="1"/>
      <c r="AX22" s="1"/>
      <c r="AY22" s="1"/>
      <c r="AZ22" s="1">
        <v>16.899999999999999</v>
      </c>
      <c r="BA22" s="23"/>
      <c r="BB22" s="1" t="s">
        <v>3</v>
      </c>
      <c r="BC22" s="1"/>
      <c r="BE22" s="1"/>
      <c r="BF22" s="1"/>
      <c r="BG22" s="1">
        <v>23.1</v>
      </c>
      <c r="BH22" s="23"/>
      <c r="BI22" s="1" t="s">
        <v>3</v>
      </c>
      <c r="BJ22" s="1"/>
      <c r="BL22" s="1"/>
      <c r="BM22" s="1"/>
      <c r="BN22" s="5">
        <v>18.8</v>
      </c>
      <c r="BO22" s="23"/>
      <c r="BP22" s="1" t="s">
        <v>3</v>
      </c>
      <c r="BQ22" s="1"/>
      <c r="BS22" s="1"/>
      <c r="BT22" s="1"/>
      <c r="BU22" s="5">
        <v>29.75</v>
      </c>
      <c r="BV22" s="23"/>
      <c r="BW22" s="1" t="s">
        <v>3</v>
      </c>
      <c r="BX22" s="1"/>
      <c r="BZ22" s="1"/>
      <c r="CA22" s="1"/>
      <c r="CB22" s="5">
        <v>23.9</v>
      </c>
      <c r="CC22" s="23"/>
      <c r="CD22" s="1" t="s">
        <v>3</v>
      </c>
      <c r="CE22" s="1"/>
      <c r="CG22" s="1"/>
      <c r="CH22" s="1"/>
      <c r="CI22" s="5">
        <f>(28.3+29.5)/2</f>
        <v>28.9</v>
      </c>
      <c r="CJ22" s="23"/>
      <c r="CK22" s="1" t="s">
        <v>3</v>
      </c>
      <c r="CL22" s="1"/>
      <c r="CN22" s="44"/>
      <c r="CO22" s="44"/>
      <c r="CP22" s="5">
        <f>(17.2+17.4)/2</f>
        <v>17.299999999999997</v>
      </c>
      <c r="CQ22" s="23"/>
      <c r="CR22" s="44" t="s">
        <v>3</v>
      </c>
      <c r="CS22" s="45"/>
      <c r="CT22" s="15"/>
      <c r="CU22" s="45"/>
      <c r="CV22" s="45"/>
      <c r="CW22" s="43">
        <f>(17.9+16.8)/2</f>
        <v>17.350000000000001</v>
      </c>
      <c r="CX22" s="23"/>
      <c r="CY22" s="45" t="s">
        <v>3</v>
      </c>
      <c r="CZ22" s="45"/>
      <c r="DB22" s="46"/>
      <c r="DC22" s="46"/>
      <c r="DD22" s="43">
        <f>(16.6+16.8)/2</f>
        <v>16.700000000000003</v>
      </c>
      <c r="DE22" s="23"/>
      <c r="DF22" s="46" t="s">
        <v>3</v>
      </c>
      <c r="DG22" s="46"/>
      <c r="DI22" s="47"/>
      <c r="DJ22" s="47"/>
      <c r="DK22" s="43">
        <f>(19.5+19.8)/2</f>
        <v>19.649999999999999</v>
      </c>
      <c r="DL22" s="23"/>
      <c r="DM22" s="47" t="s">
        <v>3</v>
      </c>
      <c r="DN22" s="47"/>
      <c r="DP22" s="48"/>
      <c r="DQ22" s="48"/>
      <c r="DR22" s="43">
        <f>(19.1+19.1)/2</f>
        <v>19.100000000000001</v>
      </c>
      <c r="DS22" s="23"/>
      <c r="DT22" s="48" t="s">
        <v>3</v>
      </c>
      <c r="DU22" s="48"/>
      <c r="DW22" s="49"/>
      <c r="DX22" s="49"/>
      <c r="DY22" s="43">
        <f>(20.6+22.3)/2</f>
        <v>21.450000000000003</v>
      </c>
      <c r="DZ22" s="23"/>
      <c r="EA22" s="49" t="s">
        <v>3</v>
      </c>
      <c r="EB22" s="49"/>
      <c r="ED22" s="50"/>
      <c r="EE22" s="50"/>
      <c r="EF22" s="43">
        <f>(28.4+29.3)/2</f>
        <v>28.85</v>
      </c>
      <c r="EG22" s="23"/>
      <c r="EH22" s="50" t="s">
        <v>3</v>
      </c>
      <c r="EI22" s="50"/>
      <c r="EK22" s="111"/>
      <c r="EL22" s="111"/>
      <c r="EM22" s="43">
        <f>(22.8+22.9)/2</f>
        <v>22.85</v>
      </c>
      <c r="EN22" s="23"/>
      <c r="EO22" s="111" t="s">
        <v>3</v>
      </c>
      <c r="EP22" s="111"/>
      <c r="ER22" s="112"/>
      <c r="ES22" s="112"/>
      <c r="ET22" s="43">
        <f>(29.8+31.1)/2</f>
        <v>30.450000000000003</v>
      </c>
      <c r="EU22" s="23"/>
      <c r="EV22" s="112" t="s">
        <v>3</v>
      </c>
      <c r="EW22" s="112"/>
      <c r="EY22" s="113"/>
      <c r="EZ22" s="113"/>
      <c r="FA22" s="43">
        <f>(19.1+18.8+19.2+19)/4</f>
        <v>19.025000000000002</v>
      </c>
      <c r="FB22" s="23"/>
      <c r="FC22" s="113" t="s">
        <v>3</v>
      </c>
      <c r="FD22" s="113"/>
      <c r="FF22" s="114"/>
      <c r="FG22" s="114"/>
      <c r="FH22" s="43">
        <f>(19.7+21.7)/2</f>
        <v>20.7</v>
      </c>
      <c r="FI22" s="23"/>
      <c r="FJ22" s="114" t="s">
        <v>3</v>
      </c>
      <c r="FK22" s="114"/>
      <c r="FM22" s="115"/>
      <c r="FN22" s="115"/>
      <c r="FO22" s="43">
        <f>(16.5+16.8+16.4+16.7)/4</f>
        <v>16.599999999999998</v>
      </c>
      <c r="FP22" s="23"/>
      <c r="FQ22" s="115" t="s">
        <v>3</v>
      </c>
      <c r="FR22" s="115"/>
      <c r="FT22" s="128"/>
      <c r="FU22" s="128"/>
      <c r="FV22" s="43">
        <f>(14.4+15)/2</f>
        <v>14.7</v>
      </c>
      <c r="FW22" s="23"/>
      <c r="FX22" s="128" t="s">
        <v>3</v>
      </c>
      <c r="FY22" s="128"/>
      <c r="GA22" s="129"/>
      <c r="GB22" s="129"/>
      <c r="GC22" s="43">
        <f>(18.5+17.8+16.8+16.7)/4</f>
        <v>17.45</v>
      </c>
      <c r="GD22" s="23"/>
      <c r="GE22" s="129" t="s">
        <v>3</v>
      </c>
      <c r="GF22" s="129"/>
      <c r="GH22" s="130"/>
      <c r="GI22" s="130"/>
      <c r="GJ22" s="43">
        <f>(17+18.2+17.2+17.8)/4</f>
        <v>17.55</v>
      </c>
      <c r="GK22" s="23"/>
      <c r="GL22" s="130" t="s">
        <v>3</v>
      </c>
      <c r="GM22" s="130"/>
      <c r="GO22" s="131"/>
      <c r="GP22" s="131"/>
      <c r="GQ22" s="43">
        <f>(16.5+16+15.8+17.2)/4</f>
        <v>16.375</v>
      </c>
      <c r="GR22" s="23"/>
      <c r="GS22" s="131" t="s">
        <v>3</v>
      </c>
      <c r="GT22" s="131"/>
      <c r="GV22" s="132"/>
      <c r="GW22" s="132"/>
      <c r="GX22" s="43">
        <f>(20.3+20.1+20.1+20.6)/4</f>
        <v>20.275000000000002</v>
      </c>
      <c r="GY22" s="23"/>
      <c r="GZ22" s="132" t="s">
        <v>3</v>
      </c>
      <c r="HA22" s="132"/>
      <c r="HC22" s="133"/>
      <c r="HD22" s="133"/>
      <c r="HE22" s="43">
        <f>(27.2+28+30+28.3)/4</f>
        <v>28.375</v>
      </c>
      <c r="HF22" s="23"/>
      <c r="HG22" s="133" t="s">
        <v>3</v>
      </c>
      <c r="HH22" s="133"/>
      <c r="HJ22" s="137"/>
      <c r="HK22" s="137"/>
      <c r="HL22" s="43">
        <f>(16.9+17.1+16.9+18.3)/4</f>
        <v>17.3</v>
      </c>
      <c r="HM22" s="23"/>
      <c r="HN22" s="137" t="s">
        <v>3</v>
      </c>
      <c r="HO22" s="137"/>
      <c r="HQ22" s="144"/>
      <c r="HR22" s="144"/>
      <c r="HS22" s="43">
        <f>(24.1+26.3)/2</f>
        <v>25.200000000000003</v>
      </c>
      <c r="HT22" s="23"/>
      <c r="HU22" s="144" t="s">
        <v>3</v>
      </c>
      <c r="HV22" s="144"/>
    </row>
    <row r="23" spans="1:230" ht="15.75" x14ac:dyDescent="0.25">
      <c r="A23" s="5">
        <v>7</v>
      </c>
      <c r="B23" s="5">
        <v>7.9579999999999998E-2</v>
      </c>
      <c r="C23" s="5">
        <f t="shared" ref="C23:C37" si="77">1.00000381*(1+0.00000084*(22.6-19.8))</f>
        <v>1.0000061620089611</v>
      </c>
      <c r="D23" s="21">
        <f t="shared" si="0"/>
        <v>7.9580490372673118E-2</v>
      </c>
      <c r="E23" s="5">
        <v>10</v>
      </c>
      <c r="F23" s="5">
        <v>2.0000000000000002E-5</v>
      </c>
      <c r="H23" s="5">
        <v>7</v>
      </c>
      <c r="I23" s="5">
        <v>7.8409999999999994E-2</v>
      </c>
      <c r="J23" s="5">
        <f>1.00000381*(1+0.00000084*($J$22-19.8))</f>
        <v>1.0000070020121616</v>
      </c>
      <c r="K23" s="21">
        <f t="shared" ref="K23:K27" si="78">I23*J23</f>
        <v>7.8410549027773585E-2</v>
      </c>
      <c r="L23" s="5">
        <v>10</v>
      </c>
      <c r="M23" s="5">
        <v>2.0000000000000002E-5</v>
      </c>
      <c r="O23" s="5">
        <v>7</v>
      </c>
      <c r="P23" s="5">
        <v>7.7369999999999994E-2</v>
      </c>
      <c r="Q23" s="5">
        <f>1.00000381*(1+0.00000084*($Q$22-19.8))</f>
        <v>1.0000085980182423</v>
      </c>
      <c r="R23" s="21">
        <f t="shared" ref="R23:R27" si="79">P23*Q23</f>
        <v>7.7370665228671393E-2</v>
      </c>
      <c r="S23" s="5">
        <v>10</v>
      </c>
      <c r="T23" s="5"/>
      <c r="V23" s="5">
        <v>7</v>
      </c>
      <c r="W23" s="5"/>
      <c r="X23" s="5">
        <f>1.00000381*(1+0.00000084*($X$22-19.8))</f>
        <v>1.0000085980182423</v>
      </c>
      <c r="Y23" s="21">
        <f t="shared" ref="Y23:Y27" si="80">W23*X23</f>
        <v>0</v>
      </c>
      <c r="Z23" s="5">
        <v>10</v>
      </c>
      <c r="AA23" s="5"/>
      <c r="AC23" s="5">
        <v>7</v>
      </c>
      <c r="AD23" s="5">
        <v>7.6939999999999995E-2</v>
      </c>
      <c r="AE23" s="5">
        <f>1.00000381*(1+0.00000084*($AE$22-19.8))</f>
        <v>1.0000062460092811</v>
      </c>
      <c r="AF23" s="21">
        <f t="shared" ref="AF23:AF27" si="81">AD23*AE23</f>
        <v>7.6940480567954078E-2</v>
      </c>
      <c r="AG23" s="5">
        <v>10</v>
      </c>
      <c r="AH23" s="5"/>
      <c r="AJ23" s="5">
        <v>7</v>
      </c>
      <c r="AK23" s="5">
        <v>7.7369999999999994E-2</v>
      </c>
      <c r="AL23" s="5">
        <f>1.00000381*(1+0.00000084*($AL$22-19.8))</f>
        <v>1.0000126300336041</v>
      </c>
      <c r="AM23" s="21">
        <f t="shared" ref="AM23:AM27" si="82">AK23*AL23</f>
        <v>7.7370977185699935E-2</v>
      </c>
      <c r="AN23" s="5">
        <v>10</v>
      </c>
      <c r="AO23" s="5"/>
      <c r="AQ23" s="5">
        <v>7</v>
      </c>
      <c r="AR23" s="9">
        <v>7.9000000000000001E-2</v>
      </c>
      <c r="AS23" s="5">
        <f>1.00000381*(1+0.00000084*($AS$22-19.8))</f>
        <v>1.0000023819945592</v>
      </c>
      <c r="AT23" s="21">
        <f t="shared" ref="AT23:AT27" si="83">AR23*AS23</f>
        <v>7.900018817757018E-2</v>
      </c>
      <c r="AU23" s="5">
        <v>10</v>
      </c>
      <c r="AV23" s="5">
        <v>1.0000000000000001E-5</v>
      </c>
      <c r="AX23" s="5">
        <v>7</v>
      </c>
      <c r="AY23" s="9">
        <v>7.8299999999999995E-2</v>
      </c>
      <c r="AZ23" s="5">
        <f>1.00000381*(1+0.00000084*($AZ$22-19.8))</f>
        <v>1.0000013739907188</v>
      </c>
      <c r="BA23" s="21">
        <f t="shared" ref="BA23:BA27" si="84">AY23*AZ23</f>
        <v>7.8300107583473277E-2</v>
      </c>
      <c r="BB23" s="5">
        <v>10</v>
      </c>
      <c r="BC23" s="5">
        <v>1.0000000000000001E-5</v>
      </c>
      <c r="BE23" s="5">
        <v>7</v>
      </c>
      <c r="BF23" s="9">
        <v>8.0060000000000006E-2</v>
      </c>
      <c r="BG23" s="5">
        <f>1.00000381*(1+0.00000084*($BG$22-19.8))</f>
        <v>1.0000065820105613</v>
      </c>
      <c r="BH23" s="21">
        <f t="shared" ref="BH23:BH27" si="85">BF23*BG23</f>
        <v>8.0060526955765543E-2</v>
      </c>
      <c r="BI23" s="5">
        <v>10</v>
      </c>
      <c r="BJ23" s="5">
        <v>2.0000000000000002E-5</v>
      </c>
      <c r="BL23" s="5">
        <v>7</v>
      </c>
      <c r="BM23" s="3">
        <v>7.7060000000000003E-2</v>
      </c>
      <c r="BN23" s="5">
        <f>1.00000381*(1+0.00000084*($BN$22-19.8))</f>
        <v>1.0000029699967996</v>
      </c>
      <c r="BO23" s="21">
        <f t="shared" ref="BO23" si="86">BM23*BN23</f>
        <v>7.7060228867953384E-2</v>
      </c>
      <c r="BP23" s="5">
        <v>10</v>
      </c>
      <c r="BQ23" s="3">
        <v>1.0000000000000001E-5</v>
      </c>
      <c r="BS23" s="5">
        <v>7</v>
      </c>
      <c r="BT23" s="3">
        <v>7.7420000000000003E-2</v>
      </c>
      <c r="BU23" s="5">
        <f>1.00000381*(1+0.00000084*($BU$22-19.8))</f>
        <v>1.0000121680318441</v>
      </c>
      <c r="BV23" s="21">
        <f t="shared" ref="BV23:BV37" si="87">BT23*BU23</f>
        <v>7.7420942049025374E-2</v>
      </c>
      <c r="BW23" s="5">
        <v>10</v>
      </c>
      <c r="BX23" s="3">
        <v>2.0000000000000002E-5</v>
      </c>
      <c r="BZ23" s="5">
        <v>7</v>
      </c>
      <c r="CA23" s="41">
        <v>7.6429999999999998E-2</v>
      </c>
      <c r="CB23" s="5">
        <f>1.00000381*(1+0.00000084*($CB$22-19.8))</f>
        <v>1.0000072540131217</v>
      </c>
      <c r="CC23" s="21">
        <f t="shared" ref="CC23:CC37" si="88">CA23*CB23</f>
        <v>7.6430554424222891E-2</v>
      </c>
      <c r="CD23" s="5">
        <v>10</v>
      </c>
      <c r="CE23" s="3">
        <v>2.0000000000000002E-5</v>
      </c>
      <c r="CG23" s="5">
        <v>7</v>
      </c>
      <c r="CH23" s="41">
        <v>7.6579999999999995E-2</v>
      </c>
      <c r="CI23" s="5">
        <f>1.00000381*(1+0.00000084*($CI$22-19.8))</f>
        <v>1.0000114540291236</v>
      </c>
      <c r="CJ23" s="21">
        <f t="shared" ref="CJ23:CJ37" si="89">CH23*CI23</f>
        <v>7.658087714955028E-2</v>
      </c>
      <c r="CK23" s="5">
        <v>10</v>
      </c>
      <c r="CL23" s="3">
        <v>2.0000000000000002E-5</v>
      </c>
      <c r="CN23" s="5">
        <v>7</v>
      </c>
      <c r="CO23" s="41">
        <v>7.6259999999999994E-2</v>
      </c>
      <c r="CP23" s="5">
        <f>1.00000381*(1+0.00000084*($CP$22-19.8))</f>
        <v>1.0000017099919989</v>
      </c>
      <c r="CQ23" s="21">
        <f t="shared" ref="CQ23:CQ37" si="90">CO23*CP23</f>
        <v>7.6260130403989823E-2</v>
      </c>
      <c r="CR23" s="5">
        <v>10</v>
      </c>
      <c r="CS23" s="3">
        <v>2.0000000000000002E-5</v>
      </c>
      <c r="CU23" s="5">
        <v>7</v>
      </c>
      <c r="CV23" s="41">
        <v>7.7130000000000004E-2</v>
      </c>
      <c r="CW23" s="5">
        <f>1.00000381*(1+0.00000084*(CW22-19.8))</f>
        <v>1.0000017519921589</v>
      </c>
      <c r="CX23" s="21">
        <f t="shared" ref="CX23:CX37" si="91">CV23*CW23</f>
        <v>7.7130135131155214E-2</v>
      </c>
      <c r="CY23" s="5">
        <v>10</v>
      </c>
      <c r="CZ23" s="3">
        <v>1.0000000000000001E-5</v>
      </c>
      <c r="DB23" s="5">
        <v>7</v>
      </c>
      <c r="DC23" s="41">
        <v>7.8280000000000002E-2</v>
      </c>
      <c r="DD23" s="5">
        <f>1.00000381*(1+0.00000084*($DD$22-19.8))</f>
        <v>1.0000012059900787</v>
      </c>
      <c r="DE23" s="21">
        <f t="shared" ref="DE23:DE37" si="92">DC23*DD23</f>
        <v>7.8280094404903355E-2</v>
      </c>
      <c r="DF23" s="5">
        <v>10</v>
      </c>
      <c r="DG23" s="3">
        <v>0</v>
      </c>
      <c r="DI23" s="5">
        <v>7</v>
      </c>
      <c r="DJ23" s="41">
        <v>7.8390000000000001E-2</v>
      </c>
      <c r="DK23" s="5">
        <f>1.00000381*(1+0.00000084*($DK$22-19.8))</f>
        <v>1.0000036839995199</v>
      </c>
      <c r="DL23" s="21">
        <f t="shared" ref="DL23:DL37" si="93">DJ23*DK23</f>
        <v>7.8390288788722368E-2</v>
      </c>
      <c r="DM23" s="5">
        <v>10</v>
      </c>
      <c r="DN23" s="3">
        <v>1.0000000000000001E-5</v>
      </c>
      <c r="DP23" s="5">
        <v>7</v>
      </c>
      <c r="DQ23" s="41">
        <v>7.7410000000000007E-2</v>
      </c>
      <c r="DR23" s="5">
        <f>1.00000381*(1+0.00000084*($DR$22-19.8))</f>
        <v>1.0000032219977597</v>
      </c>
      <c r="DS23" s="21">
        <f t="shared" ref="DS23:DS37" si="94">DQ23*DR23</f>
        <v>7.7410249414846588E-2</v>
      </c>
      <c r="DT23" s="5">
        <v>10</v>
      </c>
      <c r="DU23" s="3">
        <v>1.0000000000000001E-5</v>
      </c>
      <c r="DW23" s="5">
        <v>7</v>
      </c>
      <c r="DX23" s="41">
        <v>7.8659999999999994E-2</v>
      </c>
      <c r="DY23" s="5">
        <f>1.00000381*(1+0.00000084*($DY$22-19.8))</f>
        <v>1.0000051960052807</v>
      </c>
      <c r="DZ23" s="21">
        <f t="shared" ref="DZ23:DZ37" si="95">DX23*DY23</f>
        <v>7.8660408717775368E-2</v>
      </c>
      <c r="EA23" s="5">
        <v>10</v>
      </c>
      <c r="EB23" s="3">
        <v>2.0000000000000002E-5</v>
      </c>
      <c r="ED23" s="5">
        <v>7</v>
      </c>
      <c r="EE23" s="41">
        <v>7.8839999999999993E-2</v>
      </c>
      <c r="EF23" s="5">
        <f>1.00000381*(1+0.00000084*($EF$22-19.8))</f>
        <v>1.0000114120289636</v>
      </c>
      <c r="EG23" s="21">
        <f t="shared" ref="EG23:EG37" si="96">EE23*EF23</f>
        <v>7.8840899724363478E-2</v>
      </c>
      <c r="EH23" s="5">
        <v>10</v>
      </c>
      <c r="EI23" s="3">
        <v>2.0000000000000002E-5</v>
      </c>
      <c r="EK23" s="5">
        <v>7</v>
      </c>
      <c r="EL23" s="41">
        <v>7.7049999999999993E-2</v>
      </c>
      <c r="EM23" s="34">
        <f>1.00000381*(1+0.00000084*($EM$22-19.8))</f>
        <v>1.0000063720097612</v>
      </c>
      <c r="EN23" s="21">
        <f t="shared" ref="EN23:EN37" si="97">EL23*EM23</f>
        <v>7.7050490963352092E-2</v>
      </c>
      <c r="EO23" s="5">
        <v>10</v>
      </c>
      <c r="EP23" s="3">
        <v>1.0000000000000001E-5</v>
      </c>
      <c r="ER23" s="5">
        <v>7</v>
      </c>
      <c r="ES23" s="41">
        <v>7.8289999999999998E-2</v>
      </c>
      <c r="ET23" s="34">
        <f>1.00000381*(1+0.00000084*($ET$22-19.8))</f>
        <v>1.0000127560340841</v>
      </c>
      <c r="EU23" s="21">
        <f t="shared" ref="EU23:EU37" si="98">ES23*ET23</f>
        <v>7.8290998669908449E-2</v>
      </c>
      <c r="EV23" s="5">
        <v>10</v>
      </c>
      <c r="EW23" s="3">
        <v>1.0000000000000001E-5</v>
      </c>
      <c r="EY23" s="5">
        <v>7</v>
      </c>
      <c r="EZ23" s="41">
        <v>7.8369999999999995E-2</v>
      </c>
      <c r="FA23" s="34">
        <f>1.00000381*(1+0.00000084*($FA$22-19.8))</f>
        <v>1.0000031589975196</v>
      </c>
      <c r="FB23" s="21">
        <f t="shared" ref="FB23:FB37" si="99">EZ23*FA23</f>
        <v>7.8370247570635598E-2</v>
      </c>
      <c r="FC23" s="5">
        <v>10</v>
      </c>
      <c r="FD23" s="3">
        <v>1.0000000000000001E-5</v>
      </c>
      <c r="FF23" s="5">
        <v>7</v>
      </c>
      <c r="FG23" s="41">
        <v>7.8310000000000005E-2</v>
      </c>
      <c r="FH23" s="34">
        <f>1.00000381*(1+0.00000084*($FH$22-19.8))</f>
        <v>1.0000045660028802</v>
      </c>
      <c r="FI23" s="21">
        <f t="shared" ref="FI23:FI37" si="100">FG23*FH23</f>
        <v>7.8310357563685554E-2</v>
      </c>
      <c r="FJ23" s="5">
        <v>10</v>
      </c>
      <c r="FK23" s="3">
        <v>1.0000000000000001E-5</v>
      </c>
      <c r="FM23" s="5">
        <v>7</v>
      </c>
      <c r="FN23" s="41">
        <v>7.7200000000000005E-2</v>
      </c>
      <c r="FO23" s="34">
        <f>1.00000381*(1+0.00000084*($FO$22-19.8))</f>
        <v>1.0000011219897587</v>
      </c>
      <c r="FP23" s="21">
        <f t="shared" ref="FP23:FP37" si="101">FN23*FO23</f>
        <v>7.7200086617609368E-2</v>
      </c>
      <c r="FQ23" s="5">
        <v>10</v>
      </c>
      <c r="FR23" s="3">
        <v>1.0000000000000001E-5</v>
      </c>
      <c r="FT23" s="5">
        <v>7</v>
      </c>
      <c r="FU23" s="41">
        <v>7.8600000000000003E-2</v>
      </c>
      <c r="FV23" s="34">
        <f>1.00000381*(1+0.00000084*($FV$22-19.8))</f>
        <v>0.99999952598367792</v>
      </c>
      <c r="FW23" s="21">
        <f t="shared" ref="FW23:FW37" si="102">FU23*FV23</f>
        <v>7.8599962742317092E-2</v>
      </c>
      <c r="FX23" s="5">
        <v>10</v>
      </c>
      <c r="FY23" s="3">
        <v>1.0000000000000001E-5</v>
      </c>
      <c r="GA23" s="5">
        <v>7</v>
      </c>
      <c r="GB23" s="41">
        <v>7.8729999999999994E-2</v>
      </c>
      <c r="GC23" s="34">
        <f>1.00000381*(1+0.00000084*($GC$22-19.8))</f>
        <v>1.0000018359924789</v>
      </c>
      <c r="GD23" s="21">
        <f t="shared" ref="GD23:GD37" si="103">GB23*GC23</f>
        <v>7.8730144547687855E-2</v>
      </c>
      <c r="GE23" s="5">
        <v>10</v>
      </c>
      <c r="GF23" s="3">
        <v>1.0000000000000001E-5</v>
      </c>
      <c r="GH23" s="5">
        <v>7</v>
      </c>
      <c r="GI23" s="41">
        <v>7.8460000000000002E-2</v>
      </c>
      <c r="GJ23" s="34">
        <f>1.00000381*(1+0.00000084*($GJ$22-19.8))</f>
        <v>1.0000019199927992</v>
      </c>
      <c r="GK23" s="21">
        <f t="shared" ref="GK23:GK37" si="104">GI23*GJ23</f>
        <v>7.8460150642635021E-2</v>
      </c>
      <c r="GL23" s="5">
        <v>10</v>
      </c>
      <c r="GM23" s="3">
        <v>1.0000000000000001E-5</v>
      </c>
      <c r="GO23" s="5">
        <v>7</v>
      </c>
      <c r="GP23" s="41">
        <v>7.7700000000000005E-2</v>
      </c>
      <c r="GQ23" s="34">
        <f>1.00000381*(1+0.00000084*($GQ$22-19.8))</f>
        <v>1.0000009329890385</v>
      </c>
      <c r="GR23" s="21">
        <f t="shared" ref="GR23:GR37" si="105">GP23*GQ23</f>
        <v>7.7700072493248298E-2</v>
      </c>
      <c r="GS23" s="5">
        <v>10</v>
      </c>
      <c r="GT23" s="3">
        <v>1.0000000000000001E-5</v>
      </c>
      <c r="GV23" s="5">
        <v>7</v>
      </c>
      <c r="GW23" s="41">
        <v>7.8469999999999998E-2</v>
      </c>
      <c r="GX23" s="34">
        <f>1.00000381*(1+0.00000084*($GX$22-19.8))</f>
        <v>1.00000420900152</v>
      </c>
      <c r="GY23" s="21">
        <f t="shared" ref="GY23:GY37" si="106">GW23*GX23</f>
        <v>7.8470330280349276E-2</v>
      </c>
      <c r="GZ23" s="5">
        <v>10</v>
      </c>
      <c r="HA23" s="3">
        <v>1.0000000000000001E-5</v>
      </c>
      <c r="HC23" s="5">
        <v>7</v>
      </c>
      <c r="HD23" s="41">
        <v>7.7009999999999995E-2</v>
      </c>
      <c r="HE23" s="34">
        <f>1.00000381*(1+0.00000084*($HE$22-19.8))</f>
        <v>1.0000110130274433</v>
      </c>
      <c r="HF23" s="21">
        <f t="shared" ref="HF23:HF37" si="107">HD23*HE23</f>
        <v>7.7010848113243408E-2</v>
      </c>
      <c r="HG23" s="5">
        <v>10</v>
      </c>
      <c r="HH23" s="3">
        <v>2.0000000000000002E-5</v>
      </c>
      <c r="HJ23" s="5">
        <v>7</v>
      </c>
      <c r="HK23" s="41">
        <v>7.7399999999999997E-2</v>
      </c>
      <c r="HL23" s="34">
        <f>1.00000381*(1+0.00000084*($HL$22-19.8))</f>
        <v>1.0000017099919989</v>
      </c>
      <c r="HM23" s="21">
        <f t="shared" ref="HM23:HM37" si="108">HK23*HL23</f>
        <v>7.740013235338071E-2</v>
      </c>
      <c r="HN23" s="5">
        <v>10</v>
      </c>
      <c r="HO23" s="3">
        <v>1.0000000000000001E-5</v>
      </c>
      <c r="HQ23" s="5">
        <v>7</v>
      </c>
      <c r="HR23" s="41">
        <v>7.8439999999999996E-2</v>
      </c>
      <c r="HS23" s="34">
        <f>1.00000381*(1+0.00000084*($HS$22-19.8))</f>
        <v>1.0000083460172822</v>
      </c>
      <c r="HT23" s="21">
        <f t="shared" ref="HT23:HT37" si="109">HR23*HS23</f>
        <v>7.844065466159561E-2</v>
      </c>
      <c r="HU23" s="5">
        <v>10</v>
      </c>
      <c r="HV23" s="3">
        <v>1.0000000000000001E-5</v>
      </c>
    </row>
    <row r="24" spans="1:230" ht="15.75" x14ac:dyDescent="0.25">
      <c r="A24" s="5">
        <v>8</v>
      </c>
      <c r="B24" s="5">
        <v>0.28456999999999999</v>
      </c>
      <c r="C24" s="5">
        <f t="shared" si="77"/>
        <v>1.0000061620089611</v>
      </c>
      <c r="D24" s="21">
        <f t="shared" si="0"/>
        <v>0.28457175352289005</v>
      </c>
      <c r="E24" s="5">
        <v>10</v>
      </c>
      <c r="F24" s="5">
        <v>1.0000000000000001E-5</v>
      </c>
      <c r="H24" s="5">
        <v>8</v>
      </c>
      <c r="I24" s="5">
        <v>0.28344000000000003</v>
      </c>
      <c r="J24" s="5">
        <f t="shared" ref="J24:J37" si="110">1.00000381*(1+0.00000084*($J$22-19.8))</f>
        <v>1.0000070020121616</v>
      </c>
      <c r="K24" s="21">
        <f t="shared" si="78"/>
        <v>0.28344198465032711</v>
      </c>
      <c r="L24" s="5">
        <v>10</v>
      </c>
      <c r="M24" s="5">
        <v>1.0000000000000001E-5</v>
      </c>
      <c r="O24" s="5">
        <v>8</v>
      </c>
      <c r="P24" s="5">
        <v>0.28234999999999999</v>
      </c>
      <c r="Q24" s="5">
        <f t="shared" ref="Q24:Q37" si="111">1.00000381*(1+0.00000084*($Q$22-19.8))</f>
        <v>1.0000085980182423</v>
      </c>
      <c r="R24" s="21">
        <f t="shared" si="79"/>
        <v>0.28235242765045071</v>
      </c>
      <c r="S24" s="5">
        <v>10</v>
      </c>
      <c r="T24" s="5"/>
      <c r="V24" s="5">
        <v>8</v>
      </c>
      <c r="W24" s="5"/>
      <c r="X24" s="5">
        <f t="shared" ref="X24:X37" si="112">1.00000381*(1+0.00000084*($X$22-19.8))</f>
        <v>1.0000085980182423</v>
      </c>
      <c r="Y24" s="21">
        <f t="shared" si="80"/>
        <v>0</v>
      </c>
      <c r="Z24" s="5">
        <v>10</v>
      </c>
      <c r="AA24" s="5"/>
      <c r="AC24" s="5">
        <v>8</v>
      </c>
      <c r="AD24" s="5">
        <v>0.28203</v>
      </c>
      <c r="AE24" s="5">
        <f t="shared" ref="AE24:AE37" si="113">1.00000381*(1+0.00000084*($AE$22-19.8))</f>
        <v>1.0000062460092811</v>
      </c>
      <c r="AF24" s="21">
        <f t="shared" si="81"/>
        <v>0.28203176156199755</v>
      </c>
      <c r="AG24" s="5">
        <v>10</v>
      </c>
      <c r="AH24" s="5"/>
      <c r="AJ24" s="5">
        <v>8</v>
      </c>
      <c r="AK24" s="5">
        <v>0.28244999999999998</v>
      </c>
      <c r="AL24" s="5">
        <f t="shared" ref="AL24:AL37" si="114">1.00000381*(1+0.00000084*($AL$22-19.8))</f>
        <v>1.0000126300336041</v>
      </c>
      <c r="AM24" s="21">
        <f t="shared" si="82"/>
        <v>0.28245356735299143</v>
      </c>
      <c r="AN24" s="5">
        <v>10</v>
      </c>
      <c r="AO24" s="5"/>
      <c r="AQ24" s="5">
        <v>8</v>
      </c>
      <c r="AR24" s="9">
        <v>0.28404000000000001</v>
      </c>
      <c r="AS24" s="5">
        <f t="shared" ref="AS24:AS37" si="115">1.00000381*(1+0.00000084*($AS$22-19.8))</f>
        <v>1.0000023819945592</v>
      </c>
      <c r="AT24" s="21">
        <f t="shared" si="83"/>
        <v>0.2840406765817346</v>
      </c>
      <c r="AU24" s="5">
        <v>10</v>
      </c>
      <c r="AV24" s="5">
        <v>1.0000000000000001E-5</v>
      </c>
      <c r="AX24" s="5">
        <v>8</v>
      </c>
      <c r="AY24" s="9">
        <v>0.28323999999999999</v>
      </c>
      <c r="AZ24" s="5">
        <f t="shared" ref="AZ24:AZ37" si="116">1.00000381*(1+0.00000084*($AZ$22-19.8))</f>
        <v>1.0000013739907188</v>
      </c>
      <c r="BA24" s="21">
        <f t="shared" si="84"/>
        <v>0.28324038916913119</v>
      </c>
      <c r="BB24" s="5">
        <v>10</v>
      </c>
      <c r="BC24" s="5">
        <v>1.0000000000000001E-5</v>
      </c>
      <c r="BE24" s="5">
        <v>8</v>
      </c>
      <c r="BF24" s="9">
        <v>0.28502</v>
      </c>
      <c r="BG24" s="5">
        <f t="shared" ref="BG24:BG37" si="117">1.00000381*(1+0.00000084*($BG$22-19.8))</f>
        <v>1.0000065820105613</v>
      </c>
      <c r="BH24" s="21">
        <f t="shared" si="85"/>
        <v>0.28502187600465018</v>
      </c>
      <c r="BI24" s="5">
        <v>10</v>
      </c>
      <c r="BJ24" s="5">
        <v>1.0000000000000001E-5</v>
      </c>
      <c r="BL24" s="5">
        <v>8</v>
      </c>
      <c r="BM24" s="3">
        <v>0.28200999999999998</v>
      </c>
      <c r="BN24" s="5">
        <f t="shared" ref="BN24:BN37" si="118">1.00000381*(1+0.00000084*($BN$22-19.8))</f>
        <v>1.0000029699967996</v>
      </c>
      <c r="BO24" s="21">
        <f t="shared" ref="BO24:BO37" si="119">BM24*BN24</f>
        <v>0.28201083756879741</v>
      </c>
      <c r="BP24" s="5">
        <v>10</v>
      </c>
      <c r="BQ24" s="3">
        <v>1.0000000000000001E-5</v>
      </c>
      <c r="BS24" s="5">
        <v>8</v>
      </c>
      <c r="BT24" s="3">
        <v>0.28240999999999999</v>
      </c>
      <c r="BU24" s="5">
        <f t="shared" ref="BU24:BU37" si="120">1.00000381*(1+0.00000084*($BU$22-19.8))</f>
        <v>1.0000121680318441</v>
      </c>
      <c r="BV24" s="21">
        <f t="shared" si="87"/>
        <v>0.28241343637387312</v>
      </c>
      <c r="BW24" s="5">
        <v>10</v>
      </c>
      <c r="BX24" s="3">
        <v>2.0000000000000002E-5</v>
      </c>
      <c r="BZ24" s="5">
        <v>8</v>
      </c>
      <c r="CA24" s="41">
        <v>0.28140999999999999</v>
      </c>
      <c r="CB24" s="5">
        <f t="shared" ref="CB24:CB37" si="121">1.00000381*(1+0.00000084*($CB$22-19.8))</f>
        <v>1.0000072540131217</v>
      </c>
      <c r="CC24" s="21">
        <f t="shared" si="88"/>
        <v>0.28141204135183256</v>
      </c>
      <c r="CD24" s="5">
        <v>10</v>
      </c>
      <c r="CE24" s="3">
        <v>1.0000000000000001E-5</v>
      </c>
      <c r="CG24" s="5">
        <v>8</v>
      </c>
      <c r="CH24" s="41">
        <v>0.28149999999999997</v>
      </c>
      <c r="CI24" s="5">
        <f t="shared" ref="CI24:CI37" si="122">1.00000381*(1+0.00000084*($CI$22-19.8))</f>
        <v>1.0000114540291236</v>
      </c>
      <c r="CJ24" s="21">
        <f t="shared" si="89"/>
        <v>0.28150322430919827</v>
      </c>
      <c r="CK24" s="5">
        <v>10</v>
      </c>
      <c r="CL24" s="3">
        <v>1.0000000000000001E-5</v>
      </c>
      <c r="CN24" s="5">
        <v>8</v>
      </c>
      <c r="CO24" s="41">
        <v>0.28138000000000002</v>
      </c>
      <c r="CP24" s="5">
        <f t="shared" ref="CP24:CP37" si="123">1.00000381*(1+0.00000084*($CP$22-19.8))</f>
        <v>1.0000017099919989</v>
      </c>
      <c r="CQ24" s="21">
        <f t="shared" si="90"/>
        <v>0.28138048115754866</v>
      </c>
      <c r="CR24" s="5">
        <v>10</v>
      </c>
      <c r="CS24" s="3">
        <v>2.0000000000000002E-5</v>
      </c>
      <c r="CT24" s="15"/>
      <c r="CU24" s="5">
        <v>8</v>
      </c>
      <c r="CV24" s="41">
        <v>0.28223999999999999</v>
      </c>
      <c r="CW24" s="5">
        <f t="shared" ref="CW24:CW37" si="124">1.00000381*(1+0.00000084*($CP$22-19.8))</f>
        <v>1.0000017099919989</v>
      </c>
      <c r="CX24" s="21">
        <f t="shared" si="91"/>
        <v>0.28224048262814178</v>
      </c>
      <c r="CY24" s="5">
        <v>10</v>
      </c>
      <c r="CZ24" s="3">
        <v>0</v>
      </c>
      <c r="DB24" s="5">
        <v>8</v>
      </c>
      <c r="DC24" s="41">
        <v>0.28328999999999999</v>
      </c>
      <c r="DD24" s="5">
        <f t="shared" ref="DD24:DD37" si="125">1.00000381*(1+0.00000084*($DD$22-19.8))</f>
        <v>1.0000012059900787</v>
      </c>
      <c r="DE24" s="21">
        <f t="shared" si="92"/>
        <v>0.28329034164492939</v>
      </c>
      <c r="DF24" s="5">
        <v>10</v>
      </c>
      <c r="DG24" s="3">
        <v>1.0000000000000001E-5</v>
      </c>
      <c r="DI24" s="5">
        <v>8</v>
      </c>
      <c r="DJ24" s="41">
        <v>0.28336</v>
      </c>
      <c r="DK24" s="5">
        <f t="shared" ref="DK24:DK37" si="126">1.00000381*(1+0.00000084*($DK$22-19.8))</f>
        <v>1.0000036839995199</v>
      </c>
      <c r="DL24" s="21">
        <f t="shared" si="93"/>
        <v>0.28336104389810396</v>
      </c>
      <c r="DM24" s="5">
        <v>10</v>
      </c>
      <c r="DN24" s="3">
        <v>1.0000000000000001E-5</v>
      </c>
      <c r="DP24" s="5">
        <v>8</v>
      </c>
      <c r="DQ24" s="41">
        <v>0.28238000000000002</v>
      </c>
      <c r="DR24" s="5">
        <f t="shared" ref="DR24:DR37" si="127">1.00000381*(1+0.00000084*($DR$22-19.8))</f>
        <v>1.0000032219977597</v>
      </c>
      <c r="DS24" s="21">
        <f t="shared" si="94"/>
        <v>0.2823809098277274</v>
      </c>
      <c r="DT24" s="5">
        <v>10</v>
      </c>
      <c r="DU24" s="3">
        <v>1.0000000000000001E-5</v>
      </c>
      <c r="DW24" s="5">
        <v>8</v>
      </c>
      <c r="DX24" s="41">
        <v>0.28343000000000002</v>
      </c>
      <c r="DY24" s="5">
        <f t="shared" ref="DY24:DY37" si="128">1.00000381*(1+0.00000084*($DY$22-19.8))</f>
        <v>1.0000051960052807</v>
      </c>
      <c r="DZ24" s="21">
        <f t="shared" si="95"/>
        <v>0.28343147270377672</v>
      </c>
      <c r="EA24" s="5">
        <v>10</v>
      </c>
      <c r="EB24" s="3">
        <v>1.0000000000000001E-5</v>
      </c>
      <c r="ED24" s="5">
        <v>8</v>
      </c>
      <c r="EE24" s="41">
        <v>0.28383000000000003</v>
      </c>
      <c r="EF24" s="5">
        <f t="shared" ref="EF24:EF37" si="129">1.00000381*(1+0.00000084*($EF$22-19.8))</f>
        <v>1.0000114120289636</v>
      </c>
      <c r="EG24" s="21">
        <f t="shared" si="96"/>
        <v>0.28383323907618074</v>
      </c>
      <c r="EH24" s="5">
        <v>10</v>
      </c>
      <c r="EI24" s="3">
        <v>1.0000000000000001E-5</v>
      </c>
      <c r="EK24" s="5">
        <v>8</v>
      </c>
      <c r="EL24" s="41">
        <v>0.28201999999999999</v>
      </c>
      <c r="EM24" s="34">
        <f t="shared" ref="EM24:EM37" si="130">1.00000381*(1+0.00000084*($EM$22-19.8))</f>
        <v>1.0000063720097612</v>
      </c>
      <c r="EN24" s="21">
        <f t="shared" si="97"/>
        <v>0.28202179703419283</v>
      </c>
      <c r="EO24" s="5">
        <v>10</v>
      </c>
      <c r="EP24" s="3">
        <v>1.0000000000000001E-5</v>
      </c>
      <c r="ER24" s="5">
        <v>8</v>
      </c>
      <c r="ES24" s="41">
        <v>0.28328999999999999</v>
      </c>
      <c r="ET24" s="34">
        <f t="shared" ref="ET24:ET37" si="131">1.00000381*(1+0.00000084*($ET$22-19.8))</f>
        <v>1.0000127560340841</v>
      </c>
      <c r="EU24" s="21">
        <f t="shared" si="98"/>
        <v>0.2832936136568957</v>
      </c>
      <c r="EV24" s="5">
        <v>10</v>
      </c>
      <c r="EW24" s="3">
        <v>0</v>
      </c>
      <c r="EY24" s="5">
        <v>8</v>
      </c>
      <c r="EZ24" s="41">
        <v>0.28328999999999999</v>
      </c>
      <c r="FA24" s="34">
        <f t="shared" ref="FA24:FA37" si="132">1.00000381*(1+0.00000084*($FA$22-19.8))</f>
        <v>1.0000031589975196</v>
      </c>
      <c r="FB24" s="21">
        <f t="shared" si="99"/>
        <v>0.28329089491240733</v>
      </c>
      <c r="FC24" s="5">
        <v>10</v>
      </c>
      <c r="FD24" s="3">
        <v>1.0000000000000001E-5</v>
      </c>
      <c r="FF24" s="5">
        <v>8</v>
      </c>
      <c r="FG24" s="41">
        <v>0.28317999999999999</v>
      </c>
      <c r="FH24" s="34">
        <f t="shared" ref="FH24:FH36" si="133">1.00000381*(1+0.00000084*($FH$22-19.8))</f>
        <v>1.0000045660028802</v>
      </c>
      <c r="FI24" s="21">
        <f t="shared" si="100"/>
        <v>0.28318129300069561</v>
      </c>
      <c r="FJ24" s="5">
        <v>10</v>
      </c>
      <c r="FK24" s="3">
        <v>1.0000000000000001E-5</v>
      </c>
      <c r="FM24" s="5">
        <v>8</v>
      </c>
      <c r="FN24" s="41">
        <v>0.28216999999999998</v>
      </c>
      <c r="FO24" s="34">
        <f t="shared" ref="FO24:FO37" si="134">1.00000381*(1+0.00000084*($FO$22-19.8))</f>
        <v>1.0000011219897587</v>
      </c>
      <c r="FP24" s="21">
        <f t="shared" si="101"/>
        <v>0.28217031659185016</v>
      </c>
      <c r="FQ24" s="5">
        <v>10</v>
      </c>
      <c r="FR24" s="3">
        <v>0</v>
      </c>
      <c r="FT24" s="5">
        <v>8</v>
      </c>
      <c r="FU24" s="41">
        <v>0.28356999999999999</v>
      </c>
      <c r="FV24" s="34">
        <f t="shared" ref="FV24:FV37" si="135">1.00000381*(1+0.00000084*($FV$22-19.8))</f>
        <v>0.99999952598367792</v>
      </c>
      <c r="FW24" s="21">
        <f t="shared" si="102"/>
        <v>0.28356986558319153</v>
      </c>
      <c r="FX24" s="5">
        <v>10</v>
      </c>
      <c r="FY24" s="3">
        <v>0</v>
      </c>
      <c r="GA24" s="5">
        <v>8</v>
      </c>
      <c r="GB24" s="41">
        <v>0.28373999999999999</v>
      </c>
      <c r="GC24" s="34">
        <f t="shared" ref="GC24:GC37" si="136">1.00000381*(1+0.00000084*($GC$22-19.8))</f>
        <v>1.0000018359924789</v>
      </c>
      <c r="GD24" s="21">
        <f t="shared" si="103"/>
        <v>0.28374052094450597</v>
      </c>
      <c r="GE24" s="5">
        <v>10</v>
      </c>
      <c r="GF24" s="3">
        <v>0</v>
      </c>
      <c r="GH24" s="5">
        <v>8</v>
      </c>
      <c r="GI24" s="41">
        <v>0.28334999999999999</v>
      </c>
      <c r="GJ24" s="34">
        <f t="shared" ref="GJ24:GJ37" si="137">1.00000381*(1+0.00000084*($GJ$22-19.8))</f>
        <v>1.0000019199927992</v>
      </c>
      <c r="GK24" s="21">
        <f t="shared" si="104"/>
        <v>0.28335054402995963</v>
      </c>
      <c r="GL24" s="5">
        <v>10</v>
      </c>
      <c r="GM24" s="3">
        <v>1.0000000000000001E-5</v>
      </c>
      <c r="GO24" s="5">
        <v>8</v>
      </c>
      <c r="GP24" s="41">
        <v>0.28266999999999998</v>
      </c>
      <c r="GQ24" s="34">
        <f t="shared" ref="GQ24:GQ37" si="138">1.00000381*(1+0.00000084*($GQ$22-19.8))</f>
        <v>1.0000009329890385</v>
      </c>
      <c r="GR24" s="21">
        <f t="shared" si="105"/>
        <v>0.28267026372801146</v>
      </c>
      <c r="GS24" s="5">
        <v>10</v>
      </c>
      <c r="GT24" s="3">
        <v>0</v>
      </c>
      <c r="GV24" s="5">
        <v>8</v>
      </c>
      <c r="GW24" s="41">
        <v>0.28344999999999998</v>
      </c>
      <c r="GX24" s="34">
        <f t="shared" ref="GX24:GX37" si="139">1.00000381*(1+0.00000084*($GX$22-19.8))</f>
        <v>1.00000420900152</v>
      </c>
      <c r="GY24" s="21">
        <f t="shared" si="106"/>
        <v>0.28345119304148081</v>
      </c>
      <c r="GZ24" s="5">
        <v>10</v>
      </c>
      <c r="HA24" s="3">
        <v>0</v>
      </c>
      <c r="HC24" s="5">
        <v>8</v>
      </c>
      <c r="HD24" s="41">
        <v>0.28205999999999998</v>
      </c>
      <c r="HE24" s="34">
        <f t="shared" ref="HE24:HE37" si="140">1.00000381*(1+0.00000084*($HE$22-19.8))</f>
        <v>1.0000110130274433</v>
      </c>
      <c r="HF24" s="21">
        <f t="shared" si="107"/>
        <v>0.28206310633452064</v>
      </c>
      <c r="HG24" s="5">
        <v>10</v>
      </c>
      <c r="HH24" s="3">
        <v>2.0000000000000002E-5</v>
      </c>
      <c r="HJ24" s="5">
        <v>8</v>
      </c>
      <c r="HK24" s="41">
        <v>0.28234999999999999</v>
      </c>
      <c r="HL24" s="34">
        <f t="shared" ref="HL24:HL37" si="141">1.00000381*(1+0.00000084*($HL$22-19.8))</f>
        <v>1.0000017099919989</v>
      </c>
      <c r="HM24" s="21">
        <f t="shared" si="108"/>
        <v>0.28235048281624087</v>
      </c>
      <c r="HN24" s="5">
        <v>10</v>
      </c>
      <c r="HO24" s="3">
        <v>1.0000000000000001E-5</v>
      </c>
      <c r="HQ24" s="5">
        <v>8</v>
      </c>
      <c r="HR24" s="41">
        <v>0.28347</v>
      </c>
      <c r="HS24" s="34">
        <f t="shared" ref="HS24:HS37" si="142">1.00000381*(1+0.00000084*($HS$22-19.8))</f>
        <v>1.0000083460172822</v>
      </c>
      <c r="HT24" s="21">
        <f t="shared" si="109"/>
        <v>0.28347236584551899</v>
      </c>
      <c r="HU24" s="5">
        <v>10</v>
      </c>
      <c r="HV24" s="3">
        <v>1.0000000000000001E-5</v>
      </c>
    </row>
    <row r="25" spans="1:230" ht="15.75" x14ac:dyDescent="0.25">
      <c r="A25" s="5">
        <v>9</v>
      </c>
      <c r="B25" s="5">
        <v>0.53149000000000002</v>
      </c>
      <c r="C25" s="5">
        <f t="shared" si="77"/>
        <v>1.0000061620089611</v>
      </c>
      <c r="D25" s="21">
        <f t="shared" si="0"/>
        <v>0.53149327504614274</v>
      </c>
      <c r="E25" s="5">
        <v>10</v>
      </c>
      <c r="F25" s="5">
        <v>1.0000000000000001E-5</v>
      </c>
      <c r="H25" s="5">
        <v>9</v>
      </c>
      <c r="I25" s="5">
        <v>0.53030999999999995</v>
      </c>
      <c r="J25" s="5">
        <f t="shared" si="110"/>
        <v>1.0000070020121616</v>
      </c>
      <c r="K25" s="21">
        <f t="shared" si="78"/>
        <v>0.53031371323706944</v>
      </c>
      <c r="L25" s="5">
        <v>10</v>
      </c>
      <c r="M25" s="5">
        <v>1.0000000000000001E-5</v>
      </c>
      <c r="O25" s="5">
        <v>9</v>
      </c>
      <c r="P25" s="5">
        <v>0.52927999999999997</v>
      </c>
      <c r="Q25" s="5">
        <f t="shared" si="111"/>
        <v>1.0000085980182423</v>
      </c>
      <c r="R25" s="21">
        <f t="shared" si="79"/>
        <v>0.5292845507590952</v>
      </c>
      <c r="S25" s="5">
        <v>10</v>
      </c>
      <c r="T25" s="5"/>
      <c r="V25" s="5">
        <v>9</v>
      </c>
      <c r="W25" s="5">
        <v>0.52015</v>
      </c>
      <c r="X25" s="5">
        <f t="shared" si="112"/>
        <v>1.0000085980182423</v>
      </c>
      <c r="Y25" s="21">
        <f t="shared" si="80"/>
        <v>0.52015447225918876</v>
      </c>
      <c r="Z25" s="5">
        <v>10</v>
      </c>
      <c r="AA25" s="5">
        <v>1.0000000000000001E-5</v>
      </c>
      <c r="AC25" s="5">
        <v>9</v>
      </c>
      <c r="AD25" s="5">
        <v>0.52890999999999999</v>
      </c>
      <c r="AE25" s="5">
        <f t="shared" si="113"/>
        <v>1.0000062460092811</v>
      </c>
      <c r="AF25" s="21">
        <f t="shared" si="81"/>
        <v>0.52891330357676891</v>
      </c>
      <c r="AG25" s="5">
        <v>10</v>
      </c>
      <c r="AH25" s="5"/>
      <c r="AJ25" s="5">
        <v>9</v>
      </c>
      <c r="AK25" s="5">
        <v>0.52937000000000001</v>
      </c>
      <c r="AL25" s="5">
        <f t="shared" si="114"/>
        <v>1.0000126300336041</v>
      </c>
      <c r="AM25" s="21">
        <f t="shared" si="82"/>
        <v>0.52937668596088905</v>
      </c>
      <c r="AN25" s="5">
        <v>10</v>
      </c>
      <c r="AO25" s="5"/>
      <c r="AQ25" s="5">
        <v>9</v>
      </c>
      <c r="AR25" s="9">
        <v>0.53090000000000004</v>
      </c>
      <c r="AS25" s="5">
        <f t="shared" si="115"/>
        <v>1.0000023819945592</v>
      </c>
      <c r="AT25" s="21">
        <f t="shared" si="83"/>
        <v>0.53090126460091147</v>
      </c>
      <c r="AU25" s="5">
        <v>10</v>
      </c>
      <c r="AV25" s="5">
        <v>0</v>
      </c>
      <c r="AX25" s="5">
        <v>9</v>
      </c>
      <c r="AY25" s="9">
        <v>0.53010000000000002</v>
      </c>
      <c r="AZ25" s="5">
        <f t="shared" si="116"/>
        <v>1.0000013739907188</v>
      </c>
      <c r="BA25" s="21">
        <f t="shared" si="84"/>
        <v>0.53010072835248001</v>
      </c>
      <c r="BB25" s="5">
        <v>10</v>
      </c>
      <c r="BC25" s="5">
        <v>0</v>
      </c>
      <c r="BE25" s="5">
        <v>9</v>
      </c>
      <c r="BF25" s="9">
        <v>0.53193000000000001</v>
      </c>
      <c r="BG25" s="5">
        <f t="shared" si="117"/>
        <v>1.0000065820105613</v>
      </c>
      <c r="BH25" s="21">
        <f t="shared" si="85"/>
        <v>0.53193350116887783</v>
      </c>
      <c r="BI25" s="5">
        <v>10</v>
      </c>
      <c r="BJ25" s="5">
        <v>1.0000000000000001E-5</v>
      </c>
      <c r="BL25" s="5">
        <v>9</v>
      </c>
      <c r="BM25" s="3">
        <v>0.52891999999999995</v>
      </c>
      <c r="BN25" s="5">
        <f t="shared" si="118"/>
        <v>1.0000029699967996</v>
      </c>
      <c r="BO25" s="21">
        <f t="shared" si="119"/>
        <v>0.52892157089070724</v>
      </c>
      <c r="BP25" s="5">
        <v>10</v>
      </c>
      <c r="BQ25" s="3">
        <v>1.0000000000000001E-5</v>
      </c>
      <c r="BS25" s="5">
        <v>9</v>
      </c>
      <c r="BT25" s="3">
        <v>0.52925999999999995</v>
      </c>
      <c r="BU25" s="5">
        <f t="shared" si="120"/>
        <v>1.0000121680318441</v>
      </c>
      <c r="BV25" s="21">
        <f t="shared" si="87"/>
        <v>0.52926644005253376</v>
      </c>
      <c r="BW25" s="5">
        <v>10</v>
      </c>
      <c r="BX25" s="3">
        <v>1.0000000000000001E-5</v>
      </c>
      <c r="BZ25" s="5">
        <v>9</v>
      </c>
      <c r="CA25" s="41">
        <v>0.52834000000000003</v>
      </c>
      <c r="CB25" s="5">
        <f t="shared" si="121"/>
        <v>1.0000072540131217</v>
      </c>
      <c r="CC25" s="21">
        <f t="shared" si="88"/>
        <v>0.52834383258529272</v>
      </c>
      <c r="CD25" s="5">
        <v>10</v>
      </c>
      <c r="CE25" s="3">
        <v>1.0000000000000001E-5</v>
      </c>
      <c r="CG25" s="5">
        <v>9</v>
      </c>
      <c r="CH25" s="41">
        <v>0.52846000000000004</v>
      </c>
      <c r="CI25" s="5">
        <f t="shared" si="122"/>
        <v>1.0000114540291236</v>
      </c>
      <c r="CJ25" s="21">
        <f t="shared" si="89"/>
        <v>0.52846605299623073</v>
      </c>
      <c r="CK25" s="5">
        <v>10</v>
      </c>
      <c r="CL25" s="3">
        <v>1.0000000000000001E-5</v>
      </c>
      <c r="CN25" s="5">
        <v>9</v>
      </c>
      <c r="CO25" s="41">
        <v>0.52832000000000001</v>
      </c>
      <c r="CP25" s="5">
        <f t="shared" si="123"/>
        <v>1.0000017099919989</v>
      </c>
      <c r="CQ25" s="21">
        <f t="shared" si="90"/>
        <v>0.52832090342297289</v>
      </c>
      <c r="CR25" s="5">
        <v>10</v>
      </c>
      <c r="CS25" s="3">
        <v>1.0000000000000001E-5</v>
      </c>
      <c r="CU25" s="5">
        <v>9</v>
      </c>
      <c r="CV25" s="41">
        <v>0.52903999999999995</v>
      </c>
      <c r="CW25" s="5">
        <f t="shared" si="124"/>
        <v>1.0000017099919989</v>
      </c>
      <c r="CX25" s="21">
        <f t="shared" si="91"/>
        <v>0.52904090465416709</v>
      </c>
      <c r="CY25" s="5">
        <v>10</v>
      </c>
      <c r="CZ25" s="3">
        <v>0</v>
      </c>
      <c r="DB25" s="5">
        <v>9</v>
      </c>
      <c r="DC25" s="41">
        <v>0.53019000000000005</v>
      </c>
      <c r="DD25" s="5">
        <f t="shared" si="125"/>
        <v>1.0000012059900787</v>
      </c>
      <c r="DE25" s="21">
        <f t="shared" si="92"/>
        <v>0.53019063940387989</v>
      </c>
      <c r="DF25" s="5">
        <v>10</v>
      </c>
      <c r="DG25" s="3">
        <v>1.0000000000000001E-5</v>
      </c>
      <c r="DI25" s="5">
        <v>9</v>
      </c>
      <c r="DJ25" s="41">
        <v>0.53025</v>
      </c>
      <c r="DK25" s="5">
        <f t="shared" si="126"/>
        <v>1.0000036839995199</v>
      </c>
      <c r="DL25" s="21">
        <f t="shared" si="93"/>
        <v>0.53025195344074538</v>
      </c>
      <c r="DM25" s="5">
        <v>10</v>
      </c>
      <c r="DN25" s="3">
        <v>1.0000000000000001E-5</v>
      </c>
      <c r="DP25" s="5">
        <v>9</v>
      </c>
      <c r="DQ25" s="41">
        <v>0.52925999999999995</v>
      </c>
      <c r="DR25" s="5">
        <f t="shared" si="127"/>
        <v>1.0000032219977597</v>
      </c>
      <c r="DS25" s="21">
        <f t="shared" si="94"/>
        <v>0.5292617052745342</v>
      </c>
      <c r="DT25" s="5">
        <v>10</v>
      </c>
      <c r="DU25" s="3">
        <v>1.0000000000000001E-5</v>
      </c>
      <c r="DW25" s="5">
        <v>9</v>
      </c>
      <c r="DX25" s="41">
        <v>0.53036000000000005</v>
      </c>
      <c r="DY25" s="5">
        <f t="shared" si="128"/>
        <v>1.0000051960052807</v>
      </c>
      <c r="DZ25" s="21">
        <f t="shared" si="95"/>
        <v>0.53036275575336078</v>
      </c>
      <c r="EA25" s="5">
        <v>10</v>
      </c>
      <c r="EB25" s="3">
        <v>1.0000000000000001E-5</v>
      </c>
      <c r="ED25" s="5">
        <v>9</v>
      </c>
      <c r="EE25" s="41">
        <v>0.53073000000000004</v>
      </c>
      <c r="EF25" s="5">
        <f t="shared" si="129"/>
        <v>1.0000114120289636</v>
      </c>
      <c r="EG25" s="21">
        <f t="shared" si="96"/>
        <v>0.53073605670613189</v>
      </c>
      <c r="EH25" s="5">
        <v>10</v>
      </c>
      <c r="EI25" s="3">
        <v>1.0000000000000001E-5</v>
      </c>
      <c r="EK25" s="5">
        <v>9</v>
      </c>
      <c r="EL25" s="41">
        <v>0.52890000000000004</v>
      </c>
      <c r="EM25" s="34">
        <f t="shared" si="130"/>
        <v>1.0000063720097612</v>
      </c>
      <c r="EN25" s="21">
        <f t="shared" si="97"/>
        <v>0.52890337015596267</v>
      </c>
      <c r="EO25" s="5">
        <v>10</v>
      </c>
      <c r="EP25" s="3">
        <v>0</v>
      </c>
      <c r="ER25" s="5">
        <v>9</v>
      </c>
      <c r="ES25" s="41">
        <v>0.53015999999999996</v>
      </c>
      <c r="ET25" s="34">
        <f t="shared" si="131"/>
        <v>1.0000127560340841</v>
      </c>
      <c r="EU25" s="21">
        <f t="shared" si="98"/>
        <v>0.53016676273902996</v>
      </c>
      <c r="EV25" s="5">
        <v>10</v>
      </c>
      <c r="EW25" s="3">
        <v>1.0000000000000001E-5</v>
      </c>
      <c r="EY25" s="5">
        <v>9</v>
      </c>
      <c r="EZ25" s="41">
        <v>0.5302</v>
      </c>
      <c r="FA25" s="34">
        <f t="shared" si="132"/>
        <v>1.0000031589975196</v>
      </c>
      <c r="FB25" s="21">
        <f t="shared" si="99"/>
        <v>0.53020167490048487</v>
      </c>
      <c r="FC25" s="5">
        <v>10</v>
      </c>
      <c r="FD25" s="3">
        <v>1.0000000000000001E-5</v>
      </c>
      <c r="FF25" s="5">
        <v>9</v>
      </c>
      <c r="FG25" s="41">
        <v>0.53010000000000002</v>
      </c>
      <c r="FH25" s="34">
        <f t="shared" si="133"/>
        <v>1.0000045660028802</v>
      </c>
      <c r="FI25" s="21">
        <f t="shared" si="100"/>
        <v>0.53010242043812683</v>
      </c>
      <c r="FJ25" s="5">
        <v>10</v>
      </c>
      <c r="FK25" s="3">
        <v>1.0000000000000001E-5</v>
      </c>
      <c r="FM25" s="5">
        <v>9</v>
      </c>
      <c r="FN25" s="41">
        <v>0.52907999999999999</v>
      </c>
      <c r="FO25" s="34">
        <f t="shared" si="134"/>
        <v>1.0000011219897587</v>
      </c>
      <c r="FP25" s="21">
        <f t="shared" si="101"/>
        <v>0.5290805936223415</v>
      </c>
      <c r="FQ25" s="5">
        <v>10</v>
      </c>
      <c r="FR25" s="3">
        <v>0</v>
      </c>
      <c r="FT25" s="5">
        <v>9</v>
      </c>
      <c r="FU25" s="41">
        <v>0.53042999999999996</v>
      </c>
      <c r="FV25" s="34">
        <f t="shared" si="135"/>
        <v>0.99999952598367792</v>
      </c>
      <c r="FW25" s="21">
        <f t="shared" si="102"/>
        <v>0.53042974856752223</v>
      </c>
      <c r="FX25" s="5">
        <v>10</v>
      </c>
      <c r="FY25" s="3">
        <v>0</v>
      </c>
      <c r="GA25" s="5">
        <v>9</v>
      </c>
      <c r="GB25" s="41">
        <v>0.53063000000000005</v>
      </c>
      <c r="GC25" s="34">
        <f t="shared" si="136"/>
        <v>1.0000018359924789</v>
      </c>
      <c r="GD25" s="21">
        <f t="shared" si="103"/>
        <v>0.53063097423268912</v>
      </c>
      <c r="GE25" s="5">
        <v>10</v>
      </c>
      <c r="GF25" s="3">
        <v>0</v>
      </c>
      <c r="GH25" s="5">
        <v>9</v>
      </c>
      <c r="GI25" s="41">
        <v>0.53012999999999999</v>
      </c>
      <c r="GJ25" s="34">
        <f t="shared" si="137"/>
        <v>1.0000019199927992</v>
      </c>
      <c r="GK25" s="21">
        <f t="shared" si="104"/>
        <v>0.53013101784578265</v>
      </c>
      <c r="GL25" s="5">
        <v>10</v>
      </c>
      <c r="GM25" s="3">
        <v>1.0000000000000001E-5</v>
      </c>
      <c r="GO25" s="5">
        <v>9</v>
      </c>
      <c r="GP25" s="41">
        <v>0.52956000000000003</v>
      </c>
      <c r="GQ25" s="34">
        <f t="shared" si="138"/>
        <v>1.0000009329890385</v>
      </c>
      <c r="GR25" s="21">
        <f t="shared" si="105"/>
        <v>0.52956049407367523</v>
      </c>
      <c r="GS25" s="5">
        <v>10</v>
      </c>
      <c r="GT25" s="3">
        <v>1.0000000000000001E-5</v>
      </c>
      <c r="GV25" s="5">
        <v>9</v>
      </c>
      <c r="GW25" s="41">
        <v>0.53034999999999999</v>
      </c>
      <c r="GX25" s="34">
        <f t="shared" si="139"/>
        <v>1.00000420900152</v>
      </c>
      <c r="GY25" s="21">
        <f t="shared" si="106"/>
        <v>0.53035223224395611</v>
      </c>
      <c r="GZ25" s="5">
        <v>10</v>
      </c>
      <c r="HA25" s="3">
        <v>1.0000000000000001E-5</v>
      </c>
      <c r="HC25" s="5">
        <v>9</v>
      </c>
      <c r="HD25" s="41">
        <v>0.52890999999999999</v>
      </c>
      <c r="HE25" s="34">
        <f t="shared" si="140"/>
        <v>1.0000110130274433</v>
      </c>
      <c r="HF25" s="21">
        <f t="shared" si="107"/>
        <v>0.52891582490034506</v>
      </c>
      <c r="HG25" s="5">
        <v>10</v>
      </c>
      <c r="HH25" s="3">
        <v>1.0000000000000001E-5</v>
      </c>
      <c r="HJ25" s="5">
        <v>9</v>
      </c>
      <c r="HK25" s="41">
        <v>0.52927999999999997</v>
      </c>
      <c r="HL25" s="34">
        <f t="shared" si="141"/>
        <v>1.0000017099919989</v>
      </c>
      <c r="HM25" s="21">
        <f t="shared" si="108"/>
        <v>0.52928090506456515</v>
      </c>
      <c r="HN25" s="5">
        <v>10</v>
      </c>
      <c r="HO25" s="3">
        <v>1.0000000000000001E-5</v>
      </c>
      <c r="HQ25" s="5">
        <v>9</v>
      </c>
      <c r="HR25" s="41">
        <v>0.53030999999999995</v>
      </c>
      <c r="HS25" s="34">
        <f t="shared" si="142"/>
        <v>1.0000083460172822</v>
      </c>
      <c r="HT25" s="21">
        <f t="shared" si="109"/>
        <v>0.53031442597642486</v>
      </c>
      <c r="HU25" s="5">
        <v>10</v>
      </c>
      <c r="HV25" s="3">
        <v>1.0000000000000001E-5</v>
      </c>
    </row>
    <row r="26" spans="1:230" ht="15.75" x14ac:dyDescent="0.25">
      <c r="A26" s="5">
        <v>10</v>
      </c>
      <c r="B26" s="5">
        <v>0.79905000000000004</v>
      </c>
      <c r="C26" s="5">
        <f t="shared" si="77"/>
        <v>1.0000061620089611</v>
      </c>
      <c r="D26" s="21">
        <f t="shared" si="0"/>
        <v>0.79905492375326037</v>
      </c>
      <c r="E26" s="5">
        <v>10</v>
      </c>
      <c r="F26" s="5">
        <v>1.0000000000000001E-5</v>
      </c>
      <c r="H26" s="5">
        <v>10</v>
      </c>
      <c r="I26" s="5">
        <v>0.79783000000000004</v>
      </c>
      <c r="J26" s="5">
        <f t="shared" si="110"/>
        <v>1.0000070020121616</v>
      </c>
      <c r="K26" s="21">
        <f t="shared" si="78"/>
        <v>0.79783558641536301</v>
      </c>
      <c r="L26" s="5">
        <v>10</v>
      </c>
      <c r="M26" s="5">
        <v>1.0000000000000001E-5</v>
      </c>
      <c r="O26" s="5">
        <v>10</v>
      </c>
      <c r="P26" s="5">
        <v>0.79696</v>
      </c>
      <c r="Q26" s="5">
        <f t="shared" si="111"/>
        <v>1.0000085980182423</v>
      </c>
      <c r="R26" s="21">
        <f t="shared" si="79"/>
        <v>0.79696685227661834</v>
      </c>
      <c r="S26" s="5">
        <v>10</v>
      </c>
      <c r="T26" s="5"/>
      <c r="V26" s="5">
        <v>10</v>
      </c>
      <c r="W26" s="5">
        <v>0.78776000000000002</v>
      </c>
      <c r="X26" s="5">
        <f t="shared" si="112"/>
        <v>1.0000085980182423</v>
      </c>
      <c r="Y26" s="21">
        <f t="shared" si="80"/>
        <v>0.78776677317485055</v>
      </c>
      <c r="Z26" s="5">
        <v>10</v>
      </c>
      <c r="AA26" s="5">
        <v>1.0000000000000001E-5</v>
      </c>
      <c r="AC26" s="5">
        <v>10</v>
      </c>
      <c r="AD26" s="5">
        <v>0.79654999999999998</v>
      </c>
      <c r="AE26" s="5">
        <f t="shared" si="113"/>
        <v>1.0000062460092811</v>
      </c>
      <c r="AF26" s="21">
        <f t="shared" si="81"/>
        <v>0.7965549752586929</v>
      </c>
      <c r="AG26" s="5">
        <v>10</v>
      </c>
      <c r="AH26" s="5"/>
      <c r="AJ26" s="5">
        <v>10</v>
      </c>
      <c r="AK26" s="5">
        <v>0.79691999999999996</v>
      </c>
      <c r="AL26" s="5">
        <f t="shared" si="114"/>
        <v>1.0000126300336041</v>
      </c>
      <c r="AM26" s="21">
        <f t="shared" si="82"/>
        <v>0.79693006512637976</v>
      </c>
      <c r="AN26" s="5">
        <v>10</v>
      </c>
      <c r="AO26" s="5"/>
      <c r="AQ26" s="5">
        <v>10</v>
      </c>
      <c r="AR26" s="9">
        <v>0.79852999999999996</v>
      </c>
      <c r="AS26" s="5">
        <f t="shared" si="115"/>
        <v>1.0000023819945592</v>
      </c>
      <c r="AT26" s="21">
        <f t="shared" si="83"/>
        <v>0.79853190209411529</v>
      </c>
      <c r="AU26" s="5">
        <v>10</v>
      </c>
      <c r="AV26" s="5">
        <v>0</v>
      </c>
      <c r="AX26" s="5">
        <v>10</v>
      </c>
      <c r="AY26" s="9">
        <v>0.79771000000000003</v>
      </c>
      <c r="AZ26" s="5">
        <f t="shared" si="116"/>
        <v>1.0000013739907188</v>
      </c>
      <c r="BA26" s="21">
        <f t="shared" si="84"/>
        <v>0.79771109604613633</v>
      </c>
      <c r="BB26" s="5">
        <v>10</v>
      </c>
      <c r="BC26" s="5">
        <v>0</v>
      </c>
      <c r="BE26" s="5">
        <v>10</v>
      </c>
      <c r="BF26" s="9">
        <v>0.79954000000000003</v>
      </c>
      <c r="BG26" s="5">
        <f t="shared" si="117"/>
        <v>1.0000065820105613</v>
      </c>
      <c r="BH26" s="21">
        <f t="shared" si="85"/>
        <v>0.79954526258072423</v>
      </c>
      <c r="BI26" s="5">
        <v>10</v>
      </c>
      <c r="BJ26" s="5">
        <v>1.0000000000000001E-5</v>
      </c>
      <c r="BL26" s="5">
        <v>10</v>
      </c>
      <c r="BM26" s="3">
        <v>0.79654000000000003</v>
      </c>
      <c r="BN26" s="5">
        <f t="shared" si="118"/>
        <v>1.0000029699967996</v>
      </c>
      <c r="BO26" s="21">
        <f t="shared" si="119"/>
        <v>0.79654236572125081</v>
      </c>
      <c r="BP26" s="5">
        <v>10</v>
      </c>
      <c r="BQ26" s="3">
        <v>1.0000000000000001E-5</v>
      </c>
      <c r="BS26" s="5">
        <v>10</v>
      </c>
      <c r="BT26" s="3">
        <v>0.79691999999999996</v>
      </c>
      <c r="BU26" s="5">
        <f t="shared" si="120"/>
        <v>1.0000121680318441</v>
      </c>
      <c r="BV26" s="21">
        <f t="shared" si="87"/>
        <v>0.79692969694793714</v>
      </c>
      <c r="BW26" s="5">
        <v>10</v>
      </c>
      <c r="BX26" s="3">
        <v>1.0000000000000001E-5</v>
      </c>
      <c r="BZ26" s="5">
        <v>10</v>
      </c>
      <c r="CA26" s="41">
        <v>0.79593999999999998</v>
      </c>
      <c r="CB26" s="5">
        <f t="shared" si="121"/>
        <v>1.0000072540131217</v>
      </c>
      <c r="CC26" s="21">
        <f t="shared" si="88"/>
        <v>0.79594577375920406</v>
      </c>
      <c r="CD26" s="5">
        <v>10</v>
      </c>
      <c r="CE26" s="3">
        <v>1.0000000000000001E-5</v>
      </c>
      <c r="CG26" s="5">
        <v>10</v>
      </c>
      <c r="CH26" s="41">
        <v>0.79603999999999997</v>
      </c>
      <c r="CI26" s="5">
        <f t="shared" si="122"/>
        <v>1.0000114540291236</v>
      </c>
      <c r="CJ26" s="21">
        <f t="shared" si="89"/>
        <v>0.79604911786534349</v>
      </c>
      <c r="CK26" s="5">
        <v>10</v>
      </c>
      <c r="CL26" s="3">
        <v>1.0000000000000001E-5</v>
      </c>
      <c r="CN26" s="5">
        <v>10</v>
      </c>
      <c r="CO26" s="41">
        <v>0.79591000000000001</v>
      </c>
      <c r="CP26" s="5">
        <f t="shared" si="123"/>
        <v>1.0000017099919989</v>
      </c>
      <c r="CQ26" s="21">
        <f t="shared" si="90"/>
        <v>0.79591136099973181</v>
      </c>
      <c r="CR26" s="5">
        <v>10</v>
      </c>
      <c r="CS26" s="3">
        <v>1.0000000000000001E-5</v>
      </c>
      <c r="CU26" s="5">
        <v>10</v>
      </c>
      <c r="CV26" s="41">
        <v>0.79673000000000005</v>
      </c>
      <c r="CW26" s="5">
        <f t="shared" si="124"/>
        <v>1.0000017099919989</v>
      </c>
      <c r="CX26" s="21">
        <f t="shared" si="91"/>
        <v>0.79673136240192532</v>
      </c>
      <c r="CY26" s="5">
        <v>10</v>
      </c>
      <c r="CZ26" s="3">
        <v>1.0000000000000001E-5</v>
      </c>
      <c r="DB26" s="5">
        <v>10</v>
      </c>
      <c r="DC26" s="41">
        <v>0.79779999999999995</v>
      </c>
      <c r="DD26" s="5">
        <f t="shared" si="125"/>
        <v>1.0000012059900787</v>
      </c>
      <c r="DE26" s="21">
        <f t="shared" si="92"/>
        <v>0.79780096213888474</v>
      </c>
      <c r="DF26" s="5">
        <v>10</v>
      </c>
      <c r="DG26" s="3">
        <v>0</v>
      </c>
      <c r="DI26" s="5">
        <v>10</v>
      </c>
      <c r="DJ26" s="41">
        <v>0.79788000000000003</v>
      </c>
      <c r="DK26" s="5">
        <f t="shared" si="126"/>
        <v>1.0000036839995199</v>
      </c>
      <c r="DL26" s="21">
        <f t="shared" si="93"/>
        <v>0.79788293938953692</v>
      </c>
      <c r="DM26" s="5">
        <v>10</v>
      </c>
      <c r="DN26" s="3">
        <v>0</v>
      </c>
      <c r="DP26" s="5">
        <v>10</v>
      </c>
      <c r="DQ26" s="41">
        <v>0.79686999999999997</v>
      </c>
      <c r="DR26" s="5">
        <f t="shared" si="127"/>
        <v>1.0000032219977597</v>
      </c>
      <c r="DS26" s="21">
        <f t="shared" si="94"/>
        <v>0.79687256751335478</v>
      </c>
      <c r="DT26" s="5">
        <v>10</v>
      </c>
      <c r="DU26" s="3">
        <v>1.0000000000000001E-5</v>
      </c>
      <c r="DW26" s="5">
        <v>10</v>
      </c>
      <c r="DX26" s="41">
        <v>0.79801</v>
      </c>
      <c r="DY26" s="5">
        <f t="shared" si="128"/>
        <v>1.0000051960052807</v>
      </c>
      <c r="DZ26" s="21">
        <f t="shared" si="95"/>
        <v>0.79801414646417401</v>
      </c>
      <c r="EA26" s="5">
        <v>10</v>
      </c>
      <c r="EB26" s="3">
        <v>2.0000000000000002E-5</v>
      </c>
      <c r="ED26" s="5">
        <v>10</v>
      </c>
      <c r="EE26" s="41">
        <v>0.79837000000000002</v>
      </c>
      <c r="EF26" s="5">
        <f t="shared" si="129"/>
        <v>1.0000114120289636</v>
      </c>
      <c r="EG26" s="21">
        <f t="shared" si="96"/>
        <v>0.79837911102156367</v>
      </c>
      <c r="EH26" s="5">
        <v>10</v>
      </c>
      <c r="EI26" s="3">
        <v>2.0000000000000002E-5</v>
      </c>
      <c r="EK26" s="5">
        <v>10</v>
      </c>
      <c r="EL26" s="41">
        <v>0.79649000000000003</v>
      </c>
      <c r="EM26" s="34">
        <f t="shared" si="130"/>
        <v>1.0000063720097612</v>
      </c>
      <c r="EN26" s="21">
        <f t="shared" si="97"/>
        <v>0.79649507524205465</v>
      </c>
      <c r="EO26" s="5">
        <v>10</v>
      </c>
      <c r="EP26" s="3">
        <v>1.0000000000000001E-5</v>
      </c>
      <c r="ER26" s="5">
        <v>10</v>
      </c>
      <c r="ES26" s="41">
        <v>0.79778000000000004</v>
      </c>
      <c r="ET26" s="34">
        <f t="shared" si="131"/>
        <v>1.0000127560340841</v>
      </c>
      <c r="EU26" s="21">
        <f t="shared" si="98"/>
        <v>0.79779017650887163</v>
      </c>
      <c r="EV26" s="5">
        <v>10</v>
      </c>
      <c r="EW26" s="3">
        <v>1.0000000000000001E-5</v>
      </c>
      <c r="EY26" s="5">
        <v>10</v>
      </c>
      <c r="EZ26" s="41">
        <v>0.79779</v>
      </c>
      <c r="FA26" s="34">
        <f t="shared" si="132"/>
        <v>1.0000031589975196</v>
      </c>
      <c r="FB26" s="21">
        <f t="shared" si="99"/>
        <v>0.79779252021663116</v>
      </c>
      <c r="FC26" s="5">
        <v>10</v>
      </c>
      <c r="FD26" s="3">
        <v>0</v>
      </c>
      <c r="FF26" s="5">
        <v>10</v>
      </c>
      <c r="FG26" s="41">
        <v>0.79774</v>
      </c>
      <c r="FH26" s="34">
        <f t="shared" si="133"/>
        <v>1.0000045660028802</v>
      </c>
      <c r="FI26" s="21">
        <f t="shared" si="100"/>
        <v>0.79774364248313767</v>
      </c>
      <c r="FJ26" s="5">
        <v>10</v>
      </c>
      <c r="FK26" s="3">
        <v>1.0000000000000001E-5</v>
      </c>
      <c r="FM26" s="5">
        <v>10</v>
      </c>
      <c r="FN26" s="41">
        <v>0.79666999999999999</v>
      </c>
      <c r="FO26" s="34">
        <f t="shared" si="134"/>
        <v>1.0000011219897587</v>
      </c>
      <c r="FP26" s="21">
        <f t="shared" si="101"/>
        <v>0.79667089385558099</v>
      </c>
      <c r="FQ26" s="5">
        <v>10</v>
      </c>
      <c r="FR26" s="3">
        <v>0</v>
      </c>
      <c r="FT26" s="5">
        <v>10</v>
      </c>
      <c r="FU26" s="41">
        <v>0.79806999999999995</v>
      </c>
      <c r="FV26" s="34">
        <f t="shared" si="135"/>
        <v>0.99999952598367792</v>
      </c>
      <c r="FW26" s="21">
        <f t="shared" si="102"/>
        <v>0.79806962170179374</v>
      </c>
      <c r="FX26" s="5">
        <v>10</v>
      </c>
      <c r="FY26" s="3">
        <v>0</v>
      </c>
      <c r="GA26" s="5">
        <v>10</v>
      </c>
      <c r="GB26" s="41">
        <v>0.79823</v>
      </c>
      <c r="GC26" s="34">
        <f t="shared" si="136"/>
        <v>1.0000018359924789</v>
      </c>
      <c r="GD26" s="21">
        <f t="shared" si="103"/>
        <v>0.79823146554427649</v>
      </c>
      <c r="GE26" s="5">
        <v>10</v>
      </c>
      <c r="GF26" s="3">
        <v>0</v>
      </c>
      <c r="GH26" s="5">
        <v>10</v>
      </c>
      <c r="GI26" s="41">
        <v>0.79776000000000002</v>
      </c>
      <c r="GJ26" s="34">
        <f t="shared" si="137"/>
        <v>1.0000019199927992</v>
      </c>
      <c r="GK26" s="21">
        <f t="shared" si="104"/>
        <v>0.79776153169345554</v>
      </c>
      <c r="GL26" s="5">
        <v>10</v>
      </c>
      <c r="GM26" s="3">
        <v>1.0000000000000001E-5</v>
      </c>
      <c r="GO26" s="5">
        <v>10</v>
      </c>
      <c r="GP26" s="41">
        <v>0.79715999999999998</v>
      </c>
      <c r="GQ26" s="34">
        <f t="shared" si="138"/>
        <v>1.0000009329890385</v>
      </c>
      <c r="GR26" s="21">
        <f t="shared" si="105"/>
        <v>0.79716074374154189</v>
      </c>
      <c r="GS26" s="5">
        <v>10</v>
      </c>
      <c r="GT26" s="3">
        <v>0</v>
      </c>
      <c r="GV26" s="5">
        <v>10</v>
      </c>
      <c r="GW26" s="41">
        <v>0.79796</v>
      </c>
      <c r="GX26" s="34">
        <f t="shared" si="139"/>
        <v>1.00000420900152</v>
      </c>
      <c r="GY26" s="21">
        <f t="shared" si="106"/>
        <v>0.7979633586148529</v>
      </c>
      <c r="GZ26" s="5">
        <v>10</v>
      </c>
      <c r="HA26" s="3">
        <v>0</v>
      </c>
      <c r="HC26" s="5">
        <v>10</v>
      </c>
      <c r="HD26" s="41">
        <v>0.79661000000000004</v>
      </c>
      <c r="HE26" s="34">
        <f t="shared" si="140"/>
        <v>1.0000110130274433</v>
      </c>
      <c r="HF26" s="21">
        <f t="shared" si="107"/>
        <v>0.79661877308779172</v>
      </c>
      <c r="HG26" s="5">
        <v>10</v>
      </c>
      <c r="HH26" s="3">
        <v>1.0000000000000001E-5</v>
      </c>
      <c r="HJ26" s="5">
        <v>10</v>
      </c>
      <c r="HK26" s="41">
        <v>0.79688999999999999</v>
      </c>
      <c r="HL26" s="34">
        <f t="shared" si="141"/>
        <v>1.0000017099919989</v>
      </c>
      <c r="HM26" s="21">
        <f t="shared" si="108"/>
        <v>0.79689136267552396</v>
      </c>
      <c r="HN26" s="5">
        <v>10</v>
      </c>
      <c r="HO26" s="3">
        <v>1.0000000000000001E-5</v>
      </c>
      <c r="HQ26" s="5">
        <v>10</v>
      </c>
      <c r="HR26" s="41">
        <v>0.79791999999999996</v>
      </c>
      <c r="HS26" s="34">
        <f t="shared" si="142"/>
        <v>1.0000083460172822</v>
      </c>
      <c r="HT26" s="21">
        <f t="shared" si="109"/>
        <v>0.79792665945410979</v>
      </c>
      <c r="HU26" s="5">
        <v>10</v>
      </c>
      <c r="HV26" s="3">
        <v>1.0000000000000001E-5</v>
      </c>
    </row>
    <row r="27" spans="1:230" ht="15.75" x14ac:dyDescent="0.25">
      <c r="A27" s="5">
        <v>11</v>
      </c>
      <c r="B27" s="5">
        <v>1.13209</v>
      </c>
      <c r="C27" s="5">
        <f t="shared" si="77"/>
        <v>1.0000061620089611</v>
      </c>
      <c r="D27" s="21">
        <f t="shared" si="0"/>
        <v>1.1320969759487247</v>
      </c>
      <c r="E27" s="5">
        <v>10</v>
      </c>
      <c r="F27" s="5">
        <v>2.0000000000000002E-5</v>
      </c>
      <c r="H27" s="5">
        <v>11</v>
      </c>
      <c r="I27" s="5">
        <v>1.1309499999999999</v>
      </c>
      <c r="J27" s="5">
        <f t="shared" si="110"/>
        <v>1.0000070020121616</v>
      </c>
      <c r="K27" s="21">
        <f t="shared" si="78"/>
        <v>1.130957918925654</v>
      </c>
      <c r="L27" s="5">
        <v>10</v>
      </c>
      <c r="M27" s="5">
        <v>1.0000000000000001E-5</v>
      </c>
      <c r="O27" s="5">
        <v>11</v>
      </c>
      <c r="P27" s="5">
        <v>1.13001</v>
      </c>
      <c r="Q27" s="5">
        <f t="shared" si="111"/>
        <v>1.0000085980182423</v>
      </c>
      <c r="R27" s="21">
        <f t="shared" si="79"/>
        <v>1.1300197158465939</v>
      </c>
      <c r="S27" s="5">
        <v>10</v>
      </c>
      <c r="T27" s="5"/>
      <c r="V27" s="5">
        <v>11</v>
      </c>
      <c r="W27" s="5">
        <v>1.1208400000000001</v>
      </c>
      <c r="X27" s="5">
        <f t="shared" si="112"/>
        <v>1.0000085980182423</v>
      </c>
      <c r="Y27" s="21">
        <f t="shared" si="80"/>
        <v>1.1208496370027667</v>
      </c>
      <c r="Z27" s="5">
        <v>10</v>
      </c>
      <c r="AA27" s="5">
        <v>1.0000000000000001E-5</v>
      </c>
      <c r="AC27" s="5">
        <v>11</v>
      </c>
      <c r="AD27" s="5">
        <v>1.12957</v>
      </c>
      <c r="AE27" s="5">
        <f t="shared" si="113"/>
        <v>1.0000062460092811</v>
      </c>
      <c r="AF27" s="21">
        <f t="shared" si="81"/>
        <v>1.1295770553047035</v>
      </c>
      <c r="AG27" s="5">
        <v>10</v>
      </c>
      <c r="AH27" s="5"/>
      <c r="AJ27" s="5">
        <v>11</v>
      </c>
      <c r="AK27" s="5">
        <v>1.13001</v>
      </c>
      <c r="AL27" s="5">
        <f t="shared" si="114"/>
        <v>1.0000126300336041</v>
      </c>
      <c r="AM27" s="21">
        <f t="shared" si="82"/>
        <v>1.1300242720642728</v>
      </c>
      <c r="AN27" s="5">
        <v>10</v>
      </c>
      <c r="AO27" s="5"/>
      <c r="AQ27" s="5">
        <v>11</v>
      </c>
      <c r="AR27" s="9">
        <v>1.1315299999999999</v>
      </c>
      <c r="AS27" s="5">
        <f t="shared" si="115"/>
        <v>1.0000023819945592</v>
      </c>
      <c r="AT27" s="21">
        <f t="shared" si="83"/>
        <v>1.1315326952983034</v>
      </c>
      <c r="AU27" s="5">
        <v>10</v>
      </c>
      <c r="AV27" s="5">
        <v>0</v>
      </c>
      <c r="AX27" s="5">
        <v>11</v>
      </c>
      <c r="AY27" s="9">
        <v>1.1307499999999999</v>
      </c>
      <c r="AZ27" s="5">
        <f t="shared" si="116"/>
        <v>1.0000013739907188</v>
      </c>
      <c r="BA27" s="21">
        <f t="shared" si="84"/>
        <v>1.1307515536400052</v>
      </c>
      <c r="BB27" s="5">
        <v>10</v>
      </c>
      <c r="BC27" s="5">
        <v>0</v>
      </c>
      <c r="BE27" s="5">
        <v>11</v>
      </c>
      <c r="BF27" s="9">
        <v>1.1325799999999999</v>
      </c>
      <c r="BG27" s="5">
        <f t="shared" si="117"/>
        <v>1.0000065820105613</v>
      </c>
      <c r="BH27" s="21">
        <f t="shared" si="85"/>
        <v>1.1325874546535213</v>
      </c>
      <c r="BI27" s="5">
        <v>10</v>
      </c>
      <c r="BJ27" s="5">
        <v>1.0000000000000001E-5</v>
      </c>
      <c r="BL27" s="5">
        <v>11</v>
      </c>
      <c r="BM27" s="3">
        <v>1.1295900000000001</v>
      </c>
      <c r="BN27" s="5">
        <f t="shared" si="118"/>
        <v>1.0000029699967996</v>
      </c>
      <c r="BO27" s="21">
        <f t="shared" si="119"/>
        <v>1.129593354878685</v>
      </c>
      <c r="BP27" s="5">
        <v>10</v>
      </c>
      <c r="BQ27" s="3">
        <v>1.0000000000000001E-5</v>
      </c>
      <c r="BS27" s="5">
        <v>11</v>
      </c>
      <c r="BT27" s="3">
        <v>1.1299699999999999</v>
      </c>
      <c r="BU27" s="5">
        <f t="shared" si="120"/>
        <v>1.0000121680318441</v>
      </c>
      <c r="BV27" s="21">
        <f t="shared" si="87"/>
        <v>1.1299837495109428</v>
      </c>
      <c r="BW27" s="5">
        <v>10</v>
      </c>
      <c r="BX27" s="3">
        <v>1.0000000000000001E-5</v>
      </c>
      <c r="BZ27" s="5">
        <v>11</v>
      </c>
      <c r="CA27" s="41">
        <v>1.129</v>
      </c>
      <c r="CB27" s="5">
        <f t="shared" si="121"/>
        <v>1.0000072540131217</v>
      </c>
      <c r="CC27" s="21">
        <f t="shared" si="88"/>
        <v>1.1290081897808144</v>
      </c>
      <c r="CD27" s="5">
        <v>10</v>
      </c>
      <c r="CE27" s="3">
        <v>1.0000000000000001E-5</v>
      </c>
      <c r="CG27" s="5">
        <v>11</v>
      </c>
      <c r="CH27" s="41">
        <v>1.1291100000000001</v>
      </c>
      <c r="CI27" s="5">
        <f t="shared" si="122"/>
        <v>1.0000114540291236</v>
      </c>
      <c r="CJ27" s="21">
        <f t="shared" si="89"/>
        <v>1.1291229328588239</v>
      </c>
      <c r="CK27" s="5">
        <v>10</v>
      </c>
      <c r="CL27" s="3">
        <v>1.0000000000000001E-5</v>
      </c>
      <c r="CN27" s="5">
        <v>11</v>
      </c>
      <c r="CO27" s="41">
        <v>1.12893</v>
      </c>
      <c r="CP27" s="5">
        <f t="shared" si="123"/>
        <v>1.0000017099919989</v>
      </c>
      <c r="CQ27" s="21">
        <f t="shared" si="90"/>
        <v>1.1289319304612673</v>
      </c>
      <c r="CR27" s="5">
        <v>10</v>
      </c>
      <c r="CS27" s="3">
        <v>1.0000000000000001E-5</v>
      </c>
      <c r="CU27" s="5">
        <v>11</v>
      </c>
      <c r="CV27" s="41">
        <v>1.1298600000000001</v>
      </c>
      <c r="CW27" s="5">
        <f t="shared" si="124"/>
        <v>1.0000017099919989</v>
      </c>
      <c r="CX27" s="21">
        <f t="shared" si="91"/>
        <v>1.1298619320515599</v>
      </c>
      <c r="CY27" s="5">
        <v>10</v>
      </c>
      <c r="CZ27" s="3">
        <v>0</v>
      </c>
      <c r="DB27" s="5">
        <v>11</v>
      </c>
      <c r="DC27" s="41">
        <v>1.1308400000000001</v>
      </c>
      <c r="DD27" s="5">
        <f t="shared" si="125"/>
        <v>1.0000012059900787</v>
      </c>
      <c r="DE27" s="21">
        <f t="shared" si="92"/>
        <v>1.1308413637818207</v>
      </c>
      <c r="DF27" s="5">
        <v>10</v>
      </c>
      <c r="DG27" s="3">
        <v>1.0000000000000001E-5</v>
      </c>
      <c r="DI27" s="5">
        <v>11</v>
      </c>
      <c r="DJ27" s="41">
        <v>1.1309499999999999</v>
      </c>
      <c r="DK27" s="5">
        <f t="shared" si="126"/>
        <v>1.0000036839995199</v>
      </c>
      <c r="DL27" s="21">
        <f t="shared" si="93"/>
        <v>1.1309541664192568</v>
      </c>
      <c r="DM27" s="5">
        <v>10</v>
      </c>
      <c r="DN27" s="3">
        <v>0</v>
      </c>
      <c r="DP27" s="5">
        <v>11</v>
      </c>
      <c r="DQ27" s="41">
        <v>1.12999</v>
      </c>
      <c r="DR27" s="5">
        <f t="shared" si="127"/>
        <v>1.0000032219977597</v>
      </c>
      <c r="DS27" s="21">
        <f t="shared" si="94"/>
        <v>1.1299936408252484</v>
      </c>
      <c r="DT27" s="5">
        <v>10</v>
      </c>
      <c r="DU27" s="3">
        <v>1.0000000000000001E-5</v>
      </c>
      <c r="DW27" s="5">
        <v>11</v>
      </c>
      <c r="DX27" s="41">
        <v>1.1311</v>
      </c>
      <c r="DY27" s="5">
        <f t="shared" si="128"/>
        <v>1.0000051960052807</v>
      </c>
      <c r="DZ27" s="21">
        <f t="shared" si="95"/>
        <v>1.131105877201573</v>
      </c>
      <c r="EA27" s="5">
        <v>10</v>
      </c>
      <c r="EB27" s="3">
        <v>1.0000000000000001E-5</v>
      </c>
      <c r="ED27" s="5">
        <v>11</v>
      </c>
      <c r="EE27" s="41">
        <v>1.1314500000000001</v>
      </c>
      <c r="EF27" s="5">
        <f t="shared" si="129"/>
        <v>1.0000114120289636</v>
      </c>
      <c r="EG27" s="21">
        <f t="shared" si="96"/>
        <v>1.1314629121401709</v>
      </c>
      <c r="EH27" s="5">
        <v>10</v>
      </c>
      <c r="EI27" s="3">
        <v>1.0000000000000001E-5</v>
      </c>
      <c r="EK27" s="5">
        <v>11</v>
      </c>
      <c r="EL27" s="41">
        <v>1.12961</v>
      </c>
      <c r="EM27" s="34">
        <f t="shared" si="130"/>
        <v>1.0000063720097612</v>
      </c>
      <c r="EN27" s="21">
        <f t="shared" si="97"/>
        <v>1.1296171978859464</v>
      </c>
      <c r="EO27" s="5">
        <v>10</v>
      </c>
      <c r="EP27" s="3">
        <v>0</v>
      </c>
      <c r="ER27" s="5">
        <v>11</v>
      </c>
      <c r="ES27" s="41">
        <v>1.13089</v>
      </c>
      <c r="ET27" s="34">
        <f t="shared" si="131"/>
        <v>1.0000127560340841</v>
      </c>
      <c r="EU27" s="21">
        <f t="shared" si="98"/>
        <v>1.1309044256713854</v>
      </c>
      <c r="EV27" s="5">
        <v>10</v>
      </c>
      <c r="EW27" s="3">
        <v>1.0000000000000001E-5</v>
      </c>
      <c r="EY27" s="5">
        <v>11</v>
      </c>
      <c r="EZ27" s="41">
        <v>1.13086</v>
      </c>
      <c r="FA27" s="34">
        <f t="shared" si="132"/>
        <v>1.0000031589975196</v>
      </c>
      <c r="FB27" s="21">
        <f t="shared" si="99"/>
        <v>1.1308635723839349</v>
      </c>
      <c r="FC27" s="5">
        <v>10</v>
      </c>
      <c r="FD27" s="3">
        <v>1.0000000000000001E-5</v>
      </c>
      <c r="FF27" s="5">
        <v>11</v>
      </c>
      <c r="FG27" s="41">
        <v>1.13079</v>
      </c>
      <c r="FH27" s="34">
        <f t="shared" si="133"/>
        <v>1.0000045660028802</v>
      </c>
      <c r="FI27" s="21">
        <f t="shared" si="100"/>
        <v>1.130795163190397</v>
      </c>
      <c r="FJ27" s="5">
        <v>10</v>
      </c>
      <c r="FK27" s="3">
        <v>1.0000000000000001E-5</v>
      </c>
      <c r="FM27" s="5">
        <v>11</v>
      </c>
      <c r="FN27" s="41">
        <v>1.12974</v>
      </c>
      <c r="FO27" s="34">
        <f t="shared" si="134"/>
        <v>1.0000011219897587</v>
      </c>
      <c r="FP27" s="21">
        <f t="shared" si="101"/>
        <v>1.12974126755671</v>
      </c>
      <c r="FQ27" s="5">
        <v>10</v>
      </c>
      <c r="FR27" s="3">
        <v>0</v>
      </c>
      <c r="FT27" s="5">
        <v>11</v>
      </c>
      <c r="FU27" s="41">
        <v>1.1311500000000001</v>
      </c>
      <c r="FV27" s="34">
        <f t="shared" si="135"/>
        <v>0.99999952598367792</v>
      </c>
      <c r="FW27" s="21">
        <f t="shared" si="102"/>
        <v>1.1311494638164374</v>
      </c>
      <c r="FX27" s="5">
        <v>10</v>
      </c>
      <c r="FY27" s="3">
        <v>0</v>
      </c>
      <c r="GA27" s="5">
        <v>11</v>
      </c>
      <c r="GB27" s="41">
        <v>1.1313299999999999</v>
      </c>
      <c r="GC27" s="34">
        <f t="shared" si="136"/>
        <v>1.0000018359924789</v>
      </c>
      <c r="GD27" s="21">
        <f t="shared" si="103"/>
        <v>1.1313320771133712</v>
      </c>
      <c r="GE27" s="5">
        <v>10</v>
      </c>
      <c r="GF27" s="3">
        <v>0</v>
      </c>
      <c r="GH27" s="5">
        <v>11</v>
      </c>
      <c r="GI27" s="41">
        <v>1.1307700000000001</v>
      </c>
      <c r="GJ27" s="34">
        <f t="shared" si="137"/>
        <v>1.0000019199927992</v>
      </c>
      <c r="GK27" s="21">
        <f t="shared" si="104"/>
        <v>1.1307721710702576</v>
      </c>
      <c r="GL27" s="5">
        <v>10</v>
      </c>
      <c r="GM27" s="3">
        <v>1.0000000000000001E-5</v>
      </c>
      <c r="GO27" s="5">
        <v>11</v>
      </c>
      <c r="GP27" s="41">
        <v>1.1302300000000001</v>
      </c>
      <c r="GQ27" s="34">
        <f t="shared" si="138"/>
        <v>1.0000009329890385</v>
      </c>
      <c r="GR27" s="21">
        <f t="shared" si="105"/>
        <v>1.130231054492201</v>
      </c>
      <c r="GS27" s="5">
        <v>10</v>
      </c>
      <c r="GT27" s="3">
        <v>1.0000000000000001E-5</v>
      </c>
      <c r="GV27" s="5">
        <v>11</v>
      </c>
      <c r="GW27" s="41">
        <v>1.1310800000000001</v>
      </c>
      <c r="GX27" s="34">
        <f t="shared" si="139"/>
        <v>1.00000420900152</v>
      </c>
      <c r="GY27" s="21">
        <f t="shared" si="106"/>
        <v>1.1310847607174392</v>
      </c>
      <c r="GZ27" s="5">
        <v>10</v>
      </c>
      <c r="HA27" s="3">
        <v>0</v>
      </c>
      <c r="HC27" s="5">
        <v>11</v>
      </c>
      <c r="HD27" s="41">
        <v>1.1296299999999999</v>
      </c>
      <c r="HE27" s="34">
        <f t="shared" si="140"/>
        <v>1.0000110130274433</v>
      </c>
      <c r="HF27" s="21">
        <f t="shared" si="107"/>
        <v>1.1296424406461907</v>
      </c>
      <c r="HG27" s="5">
        <v>10</v>
      </c>
      <c r="HH27" s="3">
        <v>1.0000000000000001E-5</v>
      </c>
      <c r="HJ27" s="5">
        <v>11</v>
      </c>
      <c r="HK27" s="41">
        <v>1.1299699999999999</v>
      </c>
      <c r="HL27" s="34">
        <f t="shared" si="141"/>
        <v>1.0000017099919989</v>
      </c>
      <c r="HM27" s="21">
        <f t="shared" si="108"/>
        <v>1.1299719322396589</v>
      </c>
      <c r="HN27" s="5">
        <v>10</v>
      </c>
      <c r="HO27" s="3">
        <v>1.0000000000000001E-5</v>
      </c>
      <c r="HQ27" s="5">
        <v>11</v>
      </c>
      <c r="HR27" s="41">
        <v>1.1310800000000001</v>
      </c>
      <c r="HS27" s="34">
        <f t="shared" si="142"/>
        <v>1.0000083460172822</v>
      </c>
      <c r="HT27" s="21">
        <f t="shared" si="109"/>
        <v>1.1310894400132276</v>
      </c>
      <c r="HU27" s="5">
        <v>10</v>
      </c>
      <c r="HV27" s="3">
        <v>1.0000000000000001E-5</v>
      </c>
    </row>
    <row r="28" spans="1:230" ht="15.75" x14ac:dyDescent="0.25">
      <c r="A28" s="5">
        <v>12</v>
      </c>
      <c r="B28" s="5">
        <v>1.39595</v>
      </c>
      <c r="C28" s="5">
        <f t="shared" si="77"/>
        <v>1.0000061620089611</v>
      </c>
      <c r="D28" s="21">
        <f>B28*C28</f>
        <v>1.3959586018564092</v>
      </c>
      <c r="E28" s="5">
        <v>10</v>
      </c>
      <c r="F28" s="5">
        <v>1.0000000000000001E-5</v>
      </c>
      <c r="H28" s="5">
        <v>12</v>
      </c>
      <c r="I28" s="5">
        <v>1.3948700000000001</v>
      </c>
      <c r="J28" s="5">
        <f t="shared" si="110"/>
        <v>1.0000070020121616</v>
      </c>
      <c r="K28" s="21">
        <f>I28*J28</f>
        <v>1.3948797668967039</v>
      </c>
      <c r="L28" s="5">
        <v>10</v>
      </c>
      <c r="M28" s="5">
        <v>1.0000000000000001E-5</v>
      </c>
      <c r="O28" s="5">
        <v>12</v>
      </c>
      <c r="P28" s="5">
        <v>1.39385</v>
      </c>
      <c r="Q28" s="5">
        <f t="shared" si="111"/>
        <v>1.0000085980182423</v>
      </c>
      <c r="R28" s="21">
        <f>P28*Q28</f>
        <v>1.3938619843477271</v>
      </c>
      <c r="S28" s="5">
        <v>10</v>
      </c>
      <c r="T28" s="5"/>
      <c r="V28" s="5">
        <v>12</v>
      </c>
      <c r="W28" s="5">
        <v>1.3846799999999999</v>
      </c>
      <c r="X28" s="5">
        <f t="shared" si="112"/>
        <v>1.0000085980182423</v>
      </c>
      <c r="Y28" s="21">
        <f>W28*X28</f>
        <v>1.3846919055038995</v>
      </c>
      <c r="Z28" s="5">
        <v>10</v>
      </c>
      <c r="AA28" s="5">
        <v>1.0000000000000001E-5</v>
      </c>
      <c r="AC28" s="5">
        <v>12</v>
      </c>
      <c r="AD28" s="5">
        <v>1.39344</v>
      </c>
      <c r="AE28" s="5">
        <f t="shared" si="113"/>
        <v>1.0000062460092811</v>
      </c>
      <c r="AF28" s="21">
        <f>AD28*AE28</f>
        <v>1.3934487034391727</v>
      </c>
      <c r="AG28" s="5">
        <v>10</v>
      </c>
      <c r="AH28" s="5"/>
      <c r="AJ28" s="5">
        <v>12</v>
      </c>
      <c r="AK28" s="5">
        <v>1.39384</v>
      </c>
      <c r="AL28" s="5">
        <f t="shared" si="114"/>
        <v>1.0000126300336041</v>
      </c>
      <c r="AM28" s="21">
        <f>AK28*AL28</f>
        <v>1.3938576042460387</v>
      </c>
      <c r="AN28" s="5">
        <v>10</v>
      </c>
      <c r="AO28" s="5"/>
      <c r="AQ28" s="5">
        <v>12</v>
      </c>
      <c r="AR28" s="9">
        <v>1.39537</v>
      </c>
      <c r="AS28" s="5">
        <f t="shared" si="115"/>
        <v>1.0000023819945592</v>
      </c>
      <c r="AT28" s="21">
        <f>AR28*AS28</f>
        <v>1.395373323763748</v>
      </c>
      <c r="AU28" s="5">
        <v>10</v>
      </c>
      <c r="AV28" s="5">
        <v>0</v>
      </c>
      <c r="AX28" s="5">
        <v>12</v>
      </c>
      <c r="AY28" s="9">
        <v>1.3945700000000001</v>
      </c>
      <c r="AZ28" s="5">
        <f t="shared" si="116"/>
        <v>1.0000013739907188</v>
      </c>
      <c r="BA28" s="21">
        <f>AY28*AZ28</f>
        <v>1.3945719161262367</v>
      </c>
      <c r="BB28" s="5">
        <v>10</v>
      </c>
      <c r="BC28" s="5">
        <v>0</v>
      </c>
      <c r="BE28" s="5">
        <v>12</v>
      </c>
      <c r="BF28" s="9">
        <v>1.39638</v>
      </c>
      <c r="BG28" s="5">
        <f t="shared" si="117"/>
        <v>1.0000065820105613</v>
      </c>
      <c r="BH28" s="21">
        <f>BF28*BG28</f>
        <v>1.3963891909879074</v>
      </c>
      <c r="BI28" s="5">
        <v>10</v>
      </c>
      <c r="BJ28" s="5">
        <v>1.0000000000000001E-5</v>
      </c>
      <c r="BL28" s="5">
        <v>12</v>
      </c>
      <c r="BM28" s="3">
        <v>1.3934299999999999</v>
      </c>
      <c r="BN28" s="5">
        <f t="shared" si="118"/>
        <v>1.0000029699967996</v>
      </c>
      <c r="BO28" s="21">
        <f t="shared" si="119"/>
        <v>1.3934341384826405</v>
      </c>
      <c r="BP28" s="5">
        <v>10</v>
      </c>
      <c r="BQ28" s="3">
        <v>1.0000000000000001E-5</v>
      </c>
      <c r="BS28" s="5">
        <v>12</v>
      </c>
      <c r="BT28" s="3">
        <v>1.39375</v>
      </c>
      <c r="BU28" s="5">
        <f t="shared" si="120"/>
        <v>1.0000121680318441</v>
      </c>
      <c r="BV28" s="21">
        <f t="shared" si="87"/>
        <v>1.3937669591943829</v>
      </c>
      <c r="BW28" s="5">
        <v>10</v>
      </c>
      <c r="BX28" s="3">
        <v>1.0000000000000001E-5</v>
      </c>
      <c r="BZ28" s="5">
        <v>12</v>
      </c>
      <c r="CA28" s="41">
        <v>1.3928799999999999</v>
      </c>
      <c r="CB28" s="5">
        <f t="shared" si="121"/>
        <v>1.0000072540131217</v>
      </c>
      <c r="CC28" s="21">
        <f t="shared" si="88"/>
        <v>1.392890103969797</v>
      </c>
      <c r="CD28" s="5">
        <v>10</v>
      </c>
      <c r="CE28" s="3">
        <v>1.0000000000000001E-5</v>
      </c>
      <c r="CG28" s="5">
        <v>12</v>
      </c>
      <c r="CH28" s="41">
        <v>1.3929800000000001</v>
      </c>
      <c r="CI28" s="5">
        <f t="shared" si="122"/>
        <v>1.0000114540291236</v>
      </c>
      <c r="CJ28" s="21">
        <f t="shared" si="89"/>
        <v>1.3929959552334887</v>
      </c>
      <c r="CK28" s="5">
        <v>10</v>
      </c>
      <c r="CL28" s="3">
        <v>1.0000000000000001E-5</v>
      </c>
      <c r="CN28" s="5">
        <v>12</v>
      </c>
      <c r="CO28" s="41">
        <v>1.3927799999999999</v>
      </c>
      <c r="CP28" s="5">
        <f t="shared" si="123"/>
        <v>1.0000017099919989</v>
      </c>
      <c r="CQ28" s="21">
        <f t="shared" si="90"/>
        <v>1.3927823816426561</v>
      </c>
      <c r="CR28" s="5">
        <v>10</v>
      </c>
      <c r="CS28" s="3">
        <v>1.0000000000000001E-5</v>
      </c>
      <c r="CU28" s="5">
        <v>12</v>
      </c>
      <c r="CV28" s="41">
        <v>1.39364</v>
      </c>
      <c r="CW28" s="5">
        <f t="shared" si="124"/>
        <v>1.0000017099919989</v>
      </c>
      <c r="CX28" s="21">
        <f t="shared" si="91"/>
        <v>1.3936423831132494</v>
      </c>
      <c r="CY28" s="5">
        <v>10</v>
      </c>
      <c r="CZ28" s="3">
        <v>0</v>
      </c>
      <c r="DB28" s="5">
        <v>12</v>
      </c>
      <c r="DC28" s="41">
        <v>1.3946499999999999</v>
      </c>
      <c r="DD28" s="5">
        <f t="shared" si="125"/>
        <v>1.0000012059900787</v>
      </c>
      <c r="DE28" s="21">
        <f t="shared" si="92"/>
        <v>1.3946516819340631</v>
      </c>
      <c r="DF28" s="5">
        <v>10</v>
      </c>
      <c r="DG28" s="3">
        <v>0</v>
      </c>
      <c r="DI28" s="5">
        <v>12</v>
      </c>
      <c r="DJ28" s="41">
        <v>1.39476</v>
      </c>
      <c r="DK28" s="5">
        <f t="shared" si="126"/>
        <v>1.0000036839995199</v>
      </c>
      <c r="DL28" s="21">
        <f t="shared" si="93"/>
        <v>1.3947651382951705</v>
      </c>
      <c r="DM28" s="5">
        <v>10</v>
      </c>
      <c r="DN28" s="3">
        <v>1.0000000000000001E-5</v>
      </c>
      <c r="DP28" s="5">
        <v>12</v>
      </c>
      <c r="DQ28" s="41">
        <v>1.39377</v>
      </c>
      <c r="DR28" s="5">
        <f t="shared" si="127"/>
        <v>1.0000032219977597</v>
      </c>
      <c r="DS28" s="21">
        <f t="shared" si="94"/>
        <v>1.3937744907238174</v>
      </c>
      <c r="DT28" s="5">
        <v>10</v>
      </c>
      <c r="DU28" s="3">
        <v>1.0000000000000001E-5</v>
      </c>
      <c r="DW28" s="5">
        <v>12</v>
      </c>
      <c r="DX28" s="41">
        <v>1.3949400000000001</v>
      </c>
      <c r="DY28" s="5">
        <f t="shared" si="128"/>
        <v>1.0000051960052807</v>
      </c>
      <c r="DZ28" s="21">
        <f t="shared" si="95"/>
        <v>1.3949472481156064</v>
      </c>
      <c r="EA28" s="5">
        <v>10</v>
      </c>
      <c r="EB28" s="3">
        <v>2.0000000000000002E-5</v>
      </c>
      <c r="ED28" s="5">
        <v>12</v>
      </c>
      <c r="EE28" s="41">
        <v>1.3953100000000001</v>
      </c>
      <c r="EF28" s="5">
        <f t="shared" si="129"/>
        <v>1.0000114120289636</v>
      </c>
      <c r="EG28" s="21">
        <f t="shared" si="96"/>
        <v>1.3953259233181332</v>
      </c>
      <c r="EH28" s="5">
        <v>10</v>
      </c>
      <c r="EI28" s="3">
        <v>1.0000000000000001E-5</v>
      </c>
      <c r="EK28" s="5">
        <v>12</v>
      </c>
      <c r="EL28" s="41">
        <v>1.3934500000000001</v>
      </c>
      <c r="EM28" s="34">
        <f t="shared" si="130"/>
        <v>1.0000063720097612</v>
      </c>
      <c r="EN28" s="21">
        <f t="shared" si="97"/>
        <v>1.3934588790770017</v>
      </c>
      <c r="EO28" s="5">
        <v>10</v>
      </c>
      <c r="EP28" s="3">
        <v>0</v>
      </c>
      <c r="ER28" s="5">
        <v>12</v>
      </c>
      <c r="ES28" s="41">
        <v>1.39469</v>
      </c>
      <c r="ET28" s="34">
        <f t="shared" si="131"/>
        <v>1.0000127560340841</v>
      </c>
      <c r="EU28" s="21">
        <f t="shared" si="98"/>
        <v>1.3947077907131769</v>
      </c>
      <c r="EV28" s="5">
        <v>10</v>
      </c>
      <c r="EW28" s="3">
        <v>0</v>
      </c>
      <c r="EY28" s="5">
        <v>12</v>
      </c>
      <c r="EZ28" s="41">
        <v>1.39469</v>
      </c>
      <c r="FA28" s="34">
        <f t="shared" si="132"/>
        <v>1.0000031589975196</v>
      </c>
      <c r="FB28" s="21">
        <f t="shared" si="99"/>
        <v>1.3946944058222506</v>
      </c>
      <c r="FC28" s="5">
        <v>10</v>
      </c>
      <c r="FD28" s="3">
        <v>1.0000000000000001E-5</v>
      </c>
      <c r="FF28" s="5">
        <v>12</v>
      </c>
      <c r="FG28" s="41">
        <v>1.3946099999999999</v>
      </c>
      <c r="FH28" s="34">
        <f t="shared" si="133"/>
        <v>1.0000045660028802</v>
      </c>
      <c r="FI28" s="21">
        <f t="shared" si="100"/>
        <v>1.3946163677932768</v>
      </c>
      <c r="FJ28" s="5">
        <v>10</v>
      </c>
      <c r="FK28" s="3">
        <v>1.0000000000000001E-5</v>
      </c>
      <c r="FM28" s="5">
        <v>12</v>
      </c>
      <c r="FN28" s="41">
        <v>1.3935599999999999</v>
      </c>
      <c r="FO28" s="34">
        <f t="shared" si="134"/>
        <v>1.0000011219897587</v>
      </c>
      <c r="FP28" s="21">
        <f t="shared" si="101"/>
        <v>1.393561563560048</v>
      </c>
      <c r="FQ28" s="5">
        <v>10</v>
      </c>
      <c r="FR28" s="3">
        <v>1.0000000000000001E-5</v>
      </c>
      <c r="FT28" s="5">
        <v>12</v>
      </c>
      <c r="FU28" s="41">
        <v>1.3949499999999999</v>
      </c>
      <c r="FV28" s="34">
        <f t="shared" si="135"/>
        <v>0.99999952598367792</v>
      </c>
      <c r="FW28" s="21">
        <f t="shared" si="102"/>
        <v>1.3949493387709315</v>
      </c>
      <c r="FX28" s="5">
        <v>10</v>
      </c>
      <c r="FY28" s="3">
        <v>0</v>
      </c>
      <c r="GA28" s="5">
        <v>12</v>
      </c>
      <c r="GB28" s="41">
        <v>1.3951499999999999</v>
      </c>
      <c r="GC28" s="34">
        <f t="shared" si="136"/>
        <v>1.0000018359924789</v>
      </c>
      <c r="GD28" s="21">
        <f t="shared" si="103"/>
        <v>1.395152561484907</v>
      </c>
      <c r="GE28" s="5">
        <v>10</v>
      </c>
      <c r="GF28" s="3">
        <v>0</v>
      </c>
      <c r="GH28" s="5">
        <v>12</v>
      </c>
      <c r="GI28" s="41">
        <v>1.3946400000000001</v>
      </c>
      <c r="GJ28" s="34">
        <f t="shared" si="137"/>
        <v>1.0000019199927992</v>
      </c>
      <c r="GK28" s="21">
        <f t="shared" si="104"/>
        <v>1.3946426776987575</v>
      </c>
      <c r="GL28" s="5">
        <v>10</v>
      </c>
      <c r="GM28" s="3">
        <v>1.0000000000000001E-5</v>
      </c>
      <c r="GO28" s="5">
        <v>12</v>
      </c>
      <c r="GP28" s="41">
        <v>1.39408</v>
      </c>
      <c r="GQ28" s="34">
        <f t="shared" si="138"/>
        <v>1.0000009329890385</v>
      </c>
      <c r="GR28" s="21">
        <f t="shared" si="105"/>
        <v>1.3940813006613588</v>
      </c>
      <c r="GS28" s="5">
        <v>10</v>
      </c>
      <c r="GT28" s="3">
        <v>0</v>
      </c>
      <c r="GV28" s="5">
        <v>12</v>
      </c>
      <c r="GW28" s="41">
        <v>1.39493</v>
      </c>
      <c r="GX28" s="34">
        <f t="shared" si="139"/>
        <v>1.00000420900152</v>
      </c>
      <c r="GY28" s="21">
        <f t="shared" si="106"/>
        <v>1.3949358712624902</v>
      </c>
      <c r="GZ28" s="5">
        <v>10</v>
      </c>
      <c r="HA28" s="3">
        <v>1.0000000000000001E-5</v>
      </c>
      <c r="HC28" s="5">
        <v>12</v>
      </c>
      <c r="HD28" s="41">
        <v>1.3935599999999999</v>
      </c>
      <c r="HE28" s="34">
        <f t="shared" si="140"/>
        <v>1.0000110130274433</v>
      </c>
      <c r="HF28" s="21">
        <f t="shared" si="107"/>
        <v>1.3935753473145238</v>
      </c>
      <c r="HG28" s="5">
        <v>10</v>
      </c>
      <c r="HH28" s="3">
        <v>2.0000000000000002E-5</v>
      </c>
      <c r="HJ28" s="5">
        <v>12</v>
      </c>
      <c r="HK28" s="41">
        <v>1.3938299999999999</v>
      </c>
      <c r="HL28" s="34">
        <f t="shared" si="141"/>
        <v>1.0000017099919989</v>
      </c>
      <c r="HM28" s="21">
        <f t="shared" si="108"/>
        <v>1.3938323834381476</v>
      </c>
      <c r="HN28" s="5">
        <v>10</v>
      </c>
      <c r="HO28" s="3">
        <v>1.0000000000000001E-5</v>
      </c>
      <c r="HQ28" s="5">
        <v>12</v>
      </c>
      <c r="HR28" s="41">
        <v>1.39489</v>
      </c>
      <c r="HS28" s="34">
        <f t="shared" si="142"/>
        <v>1.0000083460172822</v>
      </c>
      <c r="HT28" s="21">
        <f t="shared" si="109"/>
        <v>1.3949016417760467</v>
      </c>
      <c r="HU28" s="5">
        <v>10</v>
      </c>
      <c r="HV28" s="3">
        <v>1.0000000000000001E-5</v>
      </c>
    </row>
    <row r="29" spans="1:230" ht="15.75" x14ac:dyDescent="0.25">
      <c r="A29" s="5">
        <v>13</v>
      </c>
      <c r="B29" s="5">
        <v>1.5216499999999999</v>
      </c>
      <c r="C29" s="5">
        <f t="shared" si="77"/>
        <v>1.0000061620089611</v>
      </c>
      <c r="D29" s="21">
        <f t="shared" si="0"/>
        <v>1.5216593764209356</v>
      </c>
      <c r="E29" s="5">
        <v>10</v>
      </c>
      <c r="F29" s="5">
        <v>1.0000000000000001E-5</v>
      </c>
      <c r="H29" s="5">
        <v>13</v>
      </c>
      <c r="I29" s="5">
        <v>1.5206</v>
      </c>
      <c r="J29" s="5">
        <f t="shared" si="110"/>
        <v>1.0000070020121616</v>
      </c>
      <c r="K29" s="21">
        <f t="shared" ref="K29:K37" si="143">I29*J29</f>
        <v>1.520610647259693</v>
      </c>
      <c r="L29" s="5">
        <v>10</v>
      </c>
      <c r="M29" s="5">
        <v>2.0000000000000002E-5</v>
      </c>
      <c r="O29" s="5">
        <v>13</v>
      </c>
      <c r="P29" s="5">
        <v>1.5195700000000001</v>
      </c>
      <c r="Q29" s="5">
        <f t="shared" si="111"/>
        <v>1.0000085980182423</v>
      </c>
      <c r="R29" s="21">
        <f t="shared" ref="R29:R33" si="144">P29*Q29</f>
        <v>1.5195830652905804</v>
      </c>
      <c r="S29" s="5">
        <v>10</v>
      </c>
      <c r="T29" s="5"/>
      <c r="V29" s="5">
        <v>13</v>
      </c>
      <c r="W29" s="5">
        <v>1.5103800000000001</v>
      </c>
      <c r="X29" s="5">
        <f t="shared" si="112"/>
        <v>1.0000085980182423</v>
      </c>
      <c r="Y29" s="21">
        <f t="shared" ref="Y29:Y33" si="145">W29*X29</f>
        <v>1.5103929862747929</v>
      </c>
      <c r="Z29" s="5">
        <v>10</v>
      </c>
      <c r="AA29" s="5">
        <v>1.0000000000000001E-5</v>
      </c>
      <c r="AC29" s="5">
        <v>13</v>
      </c>
      <c r="AD29" s="5">
        <v>1.5191300000000001</v>
      </c>
      <c r="AE29" s="5">
        <f t="shared" si="113"/>
        <v>1.0000062460092811</v>
      </c>
      <c r="AF29" s="21">
        <f t="shared" ref="AF29:AF33" si="146">AD29*AE29</f>
        <v>1.5191394885000793</v>
      </c>
      <c r="AG29" s="5">
        <v>10</v>
      </c>
      <c r="AH29" s="5"/>
      <c r="AJ29" s="5">
        <v>13</v>
      </c>
      <c r="AK29" s="5">
        <v>1.51952</v>
      </c>
      <c r="AL29" s="5">
        <f t="shared" si="114"/>
        <v>1.0000126300336041</v>
      </c>
      <c r="AM29" s="21">
        <f t="shared" ref="AM29:AM33" si="147">AK29*AL29</f>
        <v>1.519539191588662</v>
      </c>
      <c r="AN29" s="5">
        <v>10</v>
      </c>
      <c r="AO29" s="5"/>
      <c r="AQ29" s="5">
        <v>13</v>
      </c>
      <c r="AR29" s="9">
        <v>1.5210600000000001</v>
      </c>
      <c r="AS29" s="5">
        <f t="shared" si="115"/>
        <v>1.0000023819945592</v>
      </c>
      <c r="AT29" s="21">
        <f t="shared" ref="AT29:AT33" si="148">AR29*AS29</f>
        <v>1.5210636231566441</v>
      </c>
      <c r="AU29" s="5">
        <v>10</v>
      </c>
      <c r="AV29" s="5">
        <v>1.0000000000000001E-5</v>
      </c>
      <c r="AX29" s="5">
        <v>13</v>
      </c>
      <c r="AY29" s="9">
        <v>1.52047</v>
      </c>
      <c r="AZ29" s="5">
        <f t="shared" si="116"/>
        <v>1.0000013739907188</v>
      </c>
      <c r="BA29" s="21">
        <f t="shared" ref="BA29:BA33" si="149">AY29*AZ29</f>
        <v>1.5204720891116681</v>
      </c>
      <c r="BB29" s="5">
        <v>10</v>
      </c>
      <c r="BC29" s="5">
        <v>1.0000000000000001E-5</v>
      </c>
      <c r="BE29" s="5">
        <v>13</v>
      </c>
      <c r="BF29" s="9">
        <v>1.5222199999999999</v>
      </c>
      <c r="BG29" s="5">
        <f t="shared" si="117"/>
        <v>1.0000065820105613</v>
      </c>
      <c r="BH29" s="21">
        <f t="shared" ref="BH29:BH33" si="150">BF29*BG29</f>
        <v>1.5222300192681164</v>
      </c>
      <c r="BI29" s="5">
        <v>10</v>
      </c>
      <c r="BJ29" s="5">
        <v>1.0000000000000001E-5</v>
      </c>
      <c r="BL29" s="5">
        <v>13</v>
      </c>
      <c r="BM29" s="3">
        <v>1.5193000000000001</v>
      </c>
      <c r="BN29" s="5">
        <f t="shared" si="118"/>
        <v>1.0000029699967996</v>
      </c>
      <c r="BO29" s="21">
        <f t="shared" si="119"/>
        <v>1.5193045123161377</v>
      </c>
      <c r="BP29" s="5">
        <v>10</v>
      </c>
      <c r="BQ29" s="3">
        <v>1.0000000000000001E-5</v>
      </c>
      <c r="BS29" s="5">
        <v>13</v>
      </c>
      <c r="BT29" s="3">
        <v>1.5196400000000001</v>
      </c>
      <c r="BU29" s="5">
        <f t="shared" si="120"/>
        <v>1.0000121680318441</v>
      </c>
      <c r="BV29" s="21">
        <f t="shared" si="87"/>
        <v>1.5196584910279116</v>
      </c>
      <c r="BW29" s="5">
        <v>10</v>
      </c>
      <c r="BX29" s="3">
        <v>1.0000000000000001E-5</v>
      </c>
      <c r="BZ29" s="5">
        <v>13</v>
      </c>
      <c r="CA29" s="41">
        <v>1.5187299999999999</v>
      </c>
      <c r="CB29" s="5">
        <f t="shared" si="121"/>
        <v>1.0000072540131217</v>
      </c>
      <c r="CC29" s="21">
        <f t="shared" si="88"/>
        <v>1.5187410168873483</v>
      </c>
      <c r="CD29" s="5">
        <v>10</v>
      </c>
      <c r="CE29" s="3">
        <v>1.0000000000000001E-5</v>
      </c>
      <c r="CG29" s="5">
        <v>13</v>
      </c>
      <c r="CH29" s="41">
        <v>1.5188600000000001</v>
      </c>
      <c r="CI29" s="5">
        <f t="shared" si="122"/>
        <v>1.0000114540291236</v>
      </c>
      <c r="CJ29" s="21">
        <f t="shared" si="89"/>
        <v>1.5188773970666747</v>
      </c>
      <c r="CK29" s="5">
        <v>10</v>
      </c>
      <c r="CL29" s="3">
        <v>1.0000000000000001E-5</v>
      </c>
      <c r="CN29" s="5">
        <v>13</v>
      </c>
      <c r="CO29" s="41">
        <v>1.5186200000000001</v>
      </c>
      <c r="CP29" s="5">
        <f t="shared" si="123"/>
        <v>1.0000017099919989</v>
      </c>
      <c r="CQ29" s="21">
        <f t="shared" si="90"/>
        <v>1.5186225968280493</v>
      </c>
      <c r="CR29" s="5">
        <v>10</v>
      </c>
      <c r="CS29" s="3">
        <v>1.0000000000000001E-5</v>
      </c>
      <c r="CU29" s="5">
        <v>13</v>
      </c>
      <c r="CV29" s="41">
        <v>1.5194300000000001</v>
      </c>
      <c r="CW29" s="5">
        <f t="shared" si="124"/>
        <v>1.0000017099919989</v>
      </c>
      <c r="CX29" s="21">
        <f t="shared" si="91"/>
        <v>1.5194325982131429</v>
      </c>
      <c r="CY29" s="5">
        <v>10</v>
      </c>
      <c r="CZ29" s="3">
        <v>1.0000000000000001E-5</v>
      </c>
      <c r="DB29" s="5">
        <v>13</v>
      </c>
      <c r="DC29" s="41">
        <v>1.5204299999999999</v>
      </c>
      <c r="DD29" s="5">
        <f t="shared" si="125"/>
        <v>1.0000012059900787</v>
      </c>
      <c r="DE29" s="21">
        <f t="shared" si="92"/>
        <v>1.5204318336234952</v>
      </c>
      <c r="DF29" s="5">
        <v>10</v>
      </c>
      <c r="DG29" s="3">
        <v>0</v>
      </c>
      <c r="DI29" s="5">
        <v>13</v>
      </c>
      <c r="DJ29" s="41">
        <v>1.52058</v>
      </c>
      <c r="DK29" s="5">
        <f t="shared" si="126"/>
        <v>1.0000036839995199</v>
      </c>
      <c r="DL29" s="21">
        <f t="shared" si="93"/>
        <v>1.52058560181599</v>
      </c>
      <c r="DM29" s="5">
        <v>10</v>
      </c>
      <c r="DN29" s="3">
        <v>0</v>
      </c>
      <c r="DP29" s="5">
        <v>13</v>
      </c>
      <c r="DQ29" s="41">
        <v>1.51962</v>
      </c>
      <c r="DR29" s="5">
        <f t="shared" si="127"/>
        <v>1.0000032219977597</v>
      </c>
      <c r="DS29" s="21">
        <f t="shared" si="94"/>
        <v>1.5196248962122356</v>
      </c>
      <c r="DT29" s="5">
        <v>10</v>
      </c>
      <c r="DU29" s="3">
        <v>2.0000000000000002E-5</v>
      </c>
      <c r="DW29" s="5">
        <v>13</v>
      </c>
      <c r="DX29" s="41">
        <v>1.5207200000000001</v>
      </c>
      <c r="DY29" s="5">
        <f t="shared" si="128"/>
        <v>1.0000051960052807</v>
      </c>
      <c r="DZ29" s="21">
        <f t="shared" si="95"/>
        <v>1.5207279016691506</v>
      </c>
      <c r="EA29" s="5">
        <v>10</v>
      </c>
      <c r="EB29" s="3">
        <v>2.0000000000000002E-5</v>
      </c>
      <c r="ED29" s="5">
        <v>13</v>
      </c>
      <c r="EE29" s="41">
        <v>1.52115</v>
      </c>
      <c r="EF29" s="5">
        <f t="shared" si="129"/>
        <v>1.0000114120289636</v>
      </c>
      <c r="EG29" s="21">
        <f t="shared" si="96"/>
        <v>1.5211673594078581</v>
      </c>
      <c r="EH29" s="5">
        <v>10</v>
      </c>
      <c r="EI29" s="3">
        <v>1.0000000000000001E-5</v>
      </c>
      <c r="EK29" s="5">
        <v>13</v>
      </c>
      <c r="EL29" s="41">
        <v>1.51925</v>
      </c>
      <c r="EM29" s="34">
        <f t="shared" si="130"/>
        <v>1.0000063720097612</v>
      </c>
      <c r="EN29" s="21">
        <f t="shared" si="97"/>
        <v>1.5192596806758296</v>
      </c>
      <c r="EO29" s="5">
        <v>10</v>
      </c>
      <c r="EP29" s="3">
        <v>0</v>
      </c>
      <c r="ER29" s="5">
        <v>13</v>
      </c>
      <c r="ES29" s="41">
        <v>1.5205500000000001</v>
      </c>
      <c r="ET29" s="34">
        <f t="shared" si="131"/>
        <v>1.0000127560340841</v>
      </c>
      <c r="EU29" s="21">
        <f t="shared" si="98"/>
        <v>1.5205693961876268</v>
      </c>
      <c r="EV29" s="5">
        <v>10</v>
      </c>
      <c r="EW29" s="3">
        <v>0</v>
      </c>
      <c r="EY29" s="5">
        <v>13</v>
      </c>
      <c r="EZ29" s="41">
        <v>1.5205200000000001</v>
      </c>
      <c r="FA29" s="34">
        <f t="shared" si="132"/>
        <v>1.0000031589975196</v>
      </c>
      <c r="FB29" s="21">
        <f t="shared" si="99"/>
        <v>1.5205248033189085</v>
      </c>
      <c r="FC29" s="5">
        <v>10</v>
      </c>
      <c r="FD29" s="3">
        <v>1.0000000000000001E-5</v>
      </c>
      <c r="FF29" s="5">
        <v>13</v>
      </c>
      <c r="FG29" s="41">
        <v>1.5204599999999999</v>
      </c>
      <c r="FH29" s="34">
        <f t="shared" si="133"/>
        <v>1.0000045660028802</v>
      </c>
      <c r="FI29" s="21">
        <f t="shared" si="100"/>
        <v>1.5204669424247392</v>
      </c>
      <c r="FJ29" s="5">
        <v>10</v>
      </c>
      <c r="FK29" s="3">
        <v>1.0000000000000001E-5</v>
      </c>
      <c r="FM29" s="5">
        <v>13</v>
      </c>
      <c r="FN29" s="41">
        <v>1.51946</v>
      </c>
      <c r="FO29" s="34">
        <f t="shared" si="134"/>
        <v>1.0000011219897587</v>
      </c>
      <c r="FP29" s="21">
        <f t="shared" si="101"/>
        <v>1.5194617048185588</v>
      </c>
      <c r="FQ29" s="5">
        <v>10</v>
      </c>
      <c r="FR29" s="3">
        <v>0</v>
      </c>
      <c r="FT29" s="5">
        <v>13</v>
      </c>
      <c r="FU29" s="41">
        <v>1.5208299999999999</v>
      </c>
      <c r="FV29" s="34">
        <f t="shared" si="135"/>
        <v>0.99999952598367792</v>
      </c>
      <c r="FW29" s="21">
        <f t="shared" si="102"/>
        <v>1.5208292791017568</v>
      </c>
      <c r="FX29" s="5">
        <v>10</v>
      </c>
      <c r="FY29" s="3">
        <v>0</v>
      </c>
      <c r="GA29" s="5">
        <v>13</v>
      </c>
      <c r="GB29" s="41">
        <v>1.5210300000000001</v>
      </c>
      <c r="GC29" s="34">
        <f t="shared" si="136"/>
        <v>1.0000018359924789</v>
      </c>
      <c r="GD29" s="21">
        <f t="shared" si="103"/>
        <v>1.5210327925996403</v>
      </c>
      <c r="GE29" s="5">
        <v>10</v>
      </c>
      <c r="GF29" s="3">
        <v>0</v>
      </c>
      <c r="GH29" s="5">
        <v>13</v>
      </c>
      <c r="GI29" s="41">
        <v>1.52058</v>
      </c>
      <c r="GJ29" s="34">
        <f t="shared" si="137"/>
        <v>1.0000019199927992</v>
      </c>
      <c r="GK29" s="21">
        <f t="shared" si="104"/>
        <v>1.5205829195026506</v>
      </c>
      <c r="GL29" s="5">
        <v>10</v>
      </c>
      <c r="GM29" s="3">
        <v>1.0000000000000001E-5</v>
      </c>
      <c r="GO29" s="5">
        <v>13</v>
      </c>
      <c r="GP29" s="41">
        <v>1.5199400000000001</v>
      </c>
      <c r="GQ29" s="34">
        <f t="shared" si="138"/>
        <v>1.0000009329890385</v>
      </c>
      <c r="GR29" s="21">
        <f t="shared" si="105"/>
        <v>1.5199414180873592</v>
      </c>
      <c r="GS29" s="5">
        <v>10</v>
      </c>
      <c r="GT29" s="3">
        <v>0</v>
      </c>
      <c r="GV29" s="5">
        <v>13</v>
      </c>
      <c r="GW29" s="41">
        <v>1.52078</v>
      </c>
      <c r="GX29" s="34">
        <f t="shared" si="139"/>
        <v>1.00000420900152</v>
      </c>
      <c r="GY29" s="21">
        <f t="shared" si="106"/>
        <v>1.5207864009653316</v>
      </c>
      <c r="GZ29" s="5">
        <v>10</v>
      </c>
      <c r="HA29" s="3">
        <v>1.0000000000000001E-5</v>
      </c>
      <c r="HC29" s="5">
        <v>13</v>
      </c>
      <c r="HD29" s="41">
        <v>1.5194399999999999</v>
      </c>
      <c r="HE29" s="34">
        <f t="shared" si="140"/>
        <v>1.0000110130274433</v>
      </c>
      <c r="HF29" s="21">
        <f t="shared" si="107"/>
        <v>1.5194567336344185</v>
      </c>
      <c r="HG29" s="5">
        <v>10</v>
      </c>
      <c r="HH29" s="3">
        <v>1.0000000000000001E-5</v>
      </c>
      <c r="HJ29" s="5">
        <v>13</v>
      </c>
      <c r="HK29" s="41">
        <v>1.51969</v>
      </c>
      <c r="HL29" s="34">
        <f t="shared" si="141"/>
        <v>1.0000017099919989</v>
      </c>
      <c r="HM29" s="21">
        <f t="shared" si="108"/>
        <v>1.5196925986577408</v>
      </c>
      <c r="HN29" s="5">
        <v>10</v>
      </c>
      <c r="HO29" s="3">
        <v>1.0000000000000001E-5</v>
      </c>
      <c r="HQ29" s="5">
        <v>13</v>
      </c>
      <c r="HR29" s="41">
        <v>1.52068</v>
      </c>
      <c r="HS29" s="34">
        <f t="shared" si="142"/>
        <v>1.0000083460172822</v>
      </c>
      <c r="HT29" s="21">
        <f t="shared" si="109"/>
        <v>1.5206926916215606</v>
      </c>
      <c r="HU29" s="5">
        <v>10</v>
      </c>
      <c r="HV29" s="3">
        <v>1.0000000000000001E-5</v>
      </c>
    </row>
    <row r="30" spans="1:230" ht="15.75" x14ac:dyDescent="0.25">
      <c r="A30" s="5">
        <v>14</v>
      </c>
      <c r="B30" s="5">
        <v>1.65116</v>
      </c>
      <c r="C30" s="5">
        <f t="shared" si="77"/>
        <v>1.0000061620089611</v>
      </c>
      <c r="D30" s="21">
        <f t="shared" si="0"/>
        <v>1.6511701744627161</v>
      </c>
      <c r="E30" s="5">
        <v>10</v>
      </c>
      <c r="F30" s="5">
        <v>2.0000000000000002E-5</v>
      </c>
      <c r="H30" s="5">
        <v>14</v>
      </c>
      <c r="I30" s="5">
        <v>1.65042</v>
      </c>
      <c r="J30" s="5">
        <f t="shared" si="110"/>
        <v>1.0000070020121616</v>
      </c>
      <c r="K30" s="21">
        <f t="shared" si="143"/>
        <v>1.6504315562609118</v>
      </c>
      <c r="L30" s="5">
        <v>10</v>
      </c>
      <c r="M30" s="5">
        <v>1.0000000000000001E-5</v>
      </c>
      <c r="O30" s="5">
        <v>14</v>
      </c>
      <c r="P30" s="5">
        <v>1.6493899999999999</v>
      </c>
      <c r="Q30" s="5">
        <f t="shared" si="111"/>
        <v>1.0000085980182423</v>
      </c>
      <c r="R30" s="21">
        <f t="shared" si="144"/>
        <v>1.6494041814853084</v>
      </c>
      <c r="S30" s="5">
        <v>10</v>
      </c>
      <c r="T30" s="5"/>
      <c r="V30" s="5">
        <v>14</v>
      </c>
      <c r="W30" s="5">
        <v>1.6402099999999999</v>
      </c>
      <c r="X30" s="5">
        <f t="shared" si="112"/>
        <v>1.0000085980182423</v>
      </c>
      <c r="Y30" s="21">
        <f t="shared" si="145"/>
        <v>1.6402241025555011</v>
      </c>
      <c r="Z30" s="5">
        <v>10</v>
      </c>
      <c r="AA30" s="5">
        <v>1.0000000000000001E-5</v>
      </c>
      <c r="AC30" s="5">
        <v>14</v>
      </c>
      <c r="AD30" s="5">
        <v>1.64897</v>
      </c>
      <c r="AE30" s="5">
        <f t="shared" si="113"/>
        <v>1.0000062460092811</v>
      </c>
      <c r="AF30" s="21">
        <f t="shared" si="146"/>
        <v>1.6489802994819243</v>
      </c>
      <c r="AG30" s="5">
        <v>10</v>
      </c>
      <c r="AH30" s="5"/>
      <c r="AJ30" s="5">
        <v>14</v>
      </c>
      <c r="AK30" s="5">
        <v>1.6493500000000001</v>
      </c>
      <c r="AL30" s="5">
        <f t="shared" si="114"/>
        <v>1.0000126300336041</v>
      </c>
      <c r="AM30" s="21">
        <f t="shared" si="147"/>
        <v>1.649370831345925</v>
      </c>
      <c r="AN30" s="5">
        <v>10</v>
      </c>
      <c r="AO30" s="5"/>
      <c r="AQ30" s="5">
        <v>14</v>
      </c>
      <c r="AR30" s="9">
        <v>1.6508499999999999</v>
      </c>
      <c r="AS30" s="5">
        <f t="shared" si="115"/>
        <v>1.0000023819945592</v>
      </c>
      <c r="AT30" s="21">
        <f t="shared" si="148"/>
        <v>1.6508539323157179</v>
      </c>
      <c r="AU30" s="5">
        <v>10</v>
      </c>
      <c r="AV30" s="5">
        <v>1.0000000000000001E-5</v>
      </c>
      <c r="AX30" s="5">
        <v>14</v>
      </c>
      <c r="AY30" s="9">
        <v>1.65015</v>
      </c>
      <c r="AZ30" s="5">
        <f t="shared" si="116"/>
        <v>1.0000013739907188</v>
      </c>
      <c r="BA30" s="21">
        <f t="shared" si="149"/>
        <v>1.6501522672907845</v>
      </c>
      <c r="BB30" s="5">
        <v>10</v>
      </c>
      <c r="BC30" s="5">
        <v>0</v>
      </c>
      <c r="BE30" s="5">
        <v>14</v>
      </c>
      <c r="BF30" s="9">
        <v>1.65195</v>
      </c>
      <c r="BG30" s="5">
        <f t="shared" si="117"/>
        <v>1.0000065820105613</v>
      </c>
      <c r="BH30" s="21">
        <f t="shared" si="150"/>
        <v>1.6519608731523467</v>
      </c>
      <c r="BI30" s="5">
        <v>10</v>
      </c>
      <c r="BJ30" s="5">
        <v>1.0000000000000001E-5</v>
      </c>
      <c r="BL30" s="5">
        <v>14</v>
      </c>
      <c r="BM30" s="3">
        <v>1.6490499999999999</v>
      </c>
      <c r="BN30" s="5">
        <f t="shared" si="118"/>
        <v>1.0000029699967996</v>
      </c>
      <c r="BO30" s="21">
        <f t="shared" si="119"/>
        <v>1.6490548976732222</v>
      </c>
      <c r="BP30" s="5">
        <v>10</v>
      </c>
      <c r="BQ30" s="3">
        <v>2.0000000000000002E-5</v>
      </c>
      <c r="BS30" s="5">
        <v>14</v>
      </c>
      <c r="BT30" s="3">
        <v>1.6494200000000001</v>
      </c>
      <c r="BU30" s="5">
        <f t="shared" si="120"/>
        <v>1.0000121680318441</v>
      </c>
      <c r="BV30" s="21">
        <f t="shared" si="87"/>
        <v>1.6494400701950844</v>
      </c>
      <c r="BW30" s="5">
        <v>10</v>
      </c>
      <c r="BX30" s="3">
        <v>1.0000000000000001E-5</v>
      </c>
      <c r="BZ30" s="5">
        <v>14</v>
      </c>
      <c r="CA30" s="41">
        <v>1.6485700000000001</v>
      </c>
      <c r="CB30" s="5">
        <f t="shared" si="121"/>
        <v>1.0000072540131217</v>
      </c>
      <c r="CC30" s="21">
        <f t="shared" si="88"/>
        <v>1.6485819587484123</v>
      </c>
      <c r="CD30" s="5">
        <v>10</v>
      </c>
      <c r="CE30" s="3">
        <v>1.0000000000000001E-5</v>
      </c>
      <c r="CG30" s="5">
        <v>14</v>
      </c>
      <c r="CH30" s="41">
        <v>1.6486000000000001</v>
      </c>
      <c r="CI30" s="5">
        <f t="shared" si="122"/>
        <v>1.0000114540291236</v>
      </c>
      <c r="CJ30" s="21">
        <f t="shared" si="89"/>
        <v>1.6486188831124133</v>
      </c>
      <c r="CK30" s="5">
        <v>10</v>
      </c>
      <c r="CL30" s="3">
        <v>1.0000000000000001E-5</v>
      </c>
      <c r="CN30" s="5">
        <v>14</v>
      </c>
      <c r="CO30" s="41">
        <v>1.64836</v>
      </c>
      <c r="CP30" s="5">
        <f t="shared" si="123"/>
        <v>1.0000017099919989</v>
      </c>
      <c r="CQ30" s="21">
        <f t="shared" si="90"/>
        <v>1.6483628186824113</v>
      </c>
      <c r="CR30" s="5">
        <v>10</v>
      </c>
      <c r="CS30" s="3">
        <v>1.0000000000000001E-5</v>
      </c>
      <c r="CU30" s="5">
        <v>14</v>
      </c>
      <c r="CV30" s="41">
        <v>1.6492</v>
      </c>
      <c r="CW30" s="5">
        <f t="shared" si="124"/>
        <v>1.0000017099919989</v>
      </c>
      <c r="CX30" s="21">
        <f t="shared" si="91"/>
        <v>1.6492028201188045</v>
      </c>
      <c r="CY30" s="5">
        <v>10</v>
      </c>
      <c r="CZ30" s="3">
        <v>0</v>
      </c>
      <c r="DB30" s="5">
        <v>14</v>
      </c>
      <c r="DC30" s="41">
        <v>1.65022</v>
      </c>
      <c r="DD30" s="5">
        <f t="shared" si="125"/>
        <v>1.0000012059900787</v>
      </c>
      <c r="DE30" s="21">
        <f t="shared" si="92"/>
        <v>1.6502219901489477</v>
      </c>
      <c r="DF30" s="5">
        <v>10</v>
      </c>
      <c r="DG30" s="3">
        <v>0</v>
      </c>
      <c r="DI30" s="5">
        <v>14</v>
      </c>
      <c r="DJ30" s="41">
        <v>1.65028</v>
      </c>
      <c r="DK30" s="5">
        <f t="shared" si="126"/>
        <v>1.0000036839995199</v>
      </c>
      <c r="DL30" s="21">
        <f t="shared" si="93"/>
        <v>1.6502860796307277</v>
      </c>
      <c r="DM30" s="5">
        <v>10</v>
      </c>
      <c r="DN30" s="3">
        <v>1.0000000000000001E-5</v>
      </c>
      <c r="DP30" s="5">
        <v>14</v>
      </c>
      <c r="DQ30" s="41">
        <v>1.6493800000000001</v>
      </c>
      <c r="DR30" s="5">
        <f t="shared" si="127"/>
        <v>1.0000032219977597</v>
      </c>
      <c r="DS30" s="21">
        <f t="shared" si="94"/>
        <v>1.649385314298665</v>
      </c>
      <c r="DT30" s="5">
        <v>10</v>
      </c>
      <c r="DU30" s="3">
        <v>1.0000000000000001E-5</v>
      </c>
      <c r="DW30" s="5">
        <v>14</v>
      </c>
      <c r="DX30" s="41">
        <v>1.6504700000000001</v>
      </c>
      <c r="DY30" s="5">
        <f t="shared" si="128"/>
        <v>1.0000051960052807</v>
      </c>
      <c r="DZ30" s="21">
        <f t="shared" si="95"/>
        <v>1.6504785758508358</v>
      </c>
      <c r="EA30" s="5">
        <v>10</v>
      </c>
      <c r="EB30" s="3">
        <v>1.0000000000000001E-5</v>
      </c>
      <c r="ED30" s="5">
        <v>14</v>
      </c>
      <c r="EE30" s="41">
        <v>1.6508799999999999</v>
      </c>
      <c r="EF30" s="5">
        <f t="shared" si="129"/>
        <v>1.0000114120289636</v>
      </c>
      <c r="EG30" s="21">
        <f t="shared" si="96"/>
        <v>1.6508988398903752</v>
      </c>
      <c r="EH30" s="5">
        <v>10</v>
      </c>
      <c r="EI30" s="3">
        <v>1.0000000000000001E-5</v>
      </c>
      <c r="EK30" s="5">
        <v>14</v>
      </c>
      <c r="EL30" s="41">
        <v>1.64906</v>
      </c>
      <c r="EM30" s="34">
        <f t="shared" si="130"/>
        <v>1.0000063720097612</v>
      </c>
      <c r="EN30" s="21">
        <f t="shared" si="97"/>
        <v>1.6490705078264167</v>
      </c>
      <c r="EO30" s="5">
        <v>10</v>
      </c>
      <c r="EP30" s="3">
        <v>1.0000000000000001E-5</v>
      </c>
      <c r="ER30" s="5">
        <v>14</v>
      </c>
      <c r="ES30" s="41">
        <v>1.6503000000000001</v>
      </c>
      <c r="ET30" s="34">
        <f t="shared" si="131"/>
        <v>1.0000127560340841</v>
      </c>
      <c r="EU30" s="21">
        <f t="shared" si="98"/>
        <v>1.6503210512830491</v>
      </c>
      <c r="EV30" s="5">
        <v>10</v>
      </c>
      <c r="EW30" s="3">
        <v>0</v>
      </c>
      <c r="EY30" s="5">
        <v>14</v>
      </c>
      <c r="EZ30" s="41">
        <v>1.65029</v>
      </c>
      <c r="FA30" s="34">
        <f t="shared" si="132"/>
        <v>1.0000031589975196</v>
      </c>
      <c r="FB30" s="21">
        <f t="shared" si="99"/>
        <v>1.6502952132620166</v>
      </c>
      <c r="FC30" s="5">
        <v>10</v>
      </c>
      <c r="FD30" s="3">
        <v>0</v>
      </c>
      <c r="FF30" s="5">
        <v>14</v>
      </c>
      <c r="FG30" s="41">
        <v>1.6501699999999999</v>
      </c>
      <c r="FH30" s="34">
        <f t="shared" si="133"/>
        <v>1.0000045660028802</v>
      </c>
      <c r="FI30" s="21">
        <f t="shared" si="100"/>
        <v>1.6501775346809728</v>
      </c>
      <c r="FJ30" s="5">
        <v>10</v>
      </c>
      <c r="FK30" s="3">
        <v>2.0000000000000002E-5</v>
      </c>
      <c r="FM30" s="5">
        <v>14</v>
      </c>
      <c r="FN30" s="41">
        <v>1.6492</v>
      </c>
      <c r="FO30" s="34">
        <f t="shared" si="134"/>
        <v>1.0000011219897587</v>
      </c>
      <c r="FP30" s="21">
        <f t="shared" si="101"/>
        <v>1.6492018503855099</v>
      </c>
      <c r="FQ30" s="5">
        <v>10</v>
      </c>
      <c r="FR30" s="3">
        <v>0</v>
      </c>
      <c r="FT30" s="5">
        <v>14</v>
      </c>
      <c r="FU30" s="41">
        <v>1.65059</v>
      </c>
      <c r="FV30" s="34">
        <f t="shared" si="135"/>
        <v>0.99999952598367792</v>
      </c>
      <c r="FW30" s="21">
        <f t="shared" si="102"/>
        <v>1.6505892175933989</v>
      </c>
      <c r="FX30" s="5">
        <v>10</v>
      </c>
      <c r="FY30" s="3">
        <v>0</v>
      </c>
      <c r="GA30" s="5">
        <v>14</v>
      </c>
      <c r="GB30" s="41">
        <v>1.6507700000000001</v>
      </c>
      <c r="GC30" s="34">
        <f t="shared" si="136"/>
        <v>1.0000018359924789</v>
      </c>
      <c r="GD30" s="21">
        <f t="shared" si="103"/>
        <v>1.6507730308013044</v>
      </c>
      <c r="GE30" s="5">
        <v>10</v>
      </c>
      <c r="GF30" s="3">
        <v>0</v>
      </c>
      <c r="GH30" s="5">
        <v>14</v>
      </c>
      <c r="GI30" s="41">
        <v>1.6502600000000001</v>
      </c>
      <c r="GJ30" s="34">
        <f t="shared" si="137"/>
        <v>1.0000019199927992</v>
      </c>
      <c r="GK30" s="21">
        <f t="shared" si="104"/>
        <v>1.6502631684873168</v>
      </c>
      <c r="GL30" s="5">
        <v>10</v>
      </c>
      <c r="GM30" s="3">
        <v>1.0000000000000001E-5</v>
      </c>
      <c r="GO30" s="5">
        <v>14</v>
      </c>
      <c r="GP30" s="41">
        <v>1.6496999999999999</v>
      </c>
      <c r="GQ30" s="34">
        <f t="shared" si="138"/>
        <v>1.0000009329890385</v>
      </c>
      <c r="GR30" s="21">
        <f t="shared" si="105"/>
        <v>1.6497015391520167</v>
      </c>
      <c r="GS30" s="5">
        <v>10</v>
      </c>
      <c r="GT30" s="3">
        <v>0</v>
      </c>
      <c r="GV30" s="5">
        <v>14</v>
      </c>
      <c r="GW30" s="41">
        <v>1.65056</v>
      </c>
      <c r="GX30" s="34">
        <f t="shared" si="139"/>
        <v>1.00000420900152</v>
      </c>
      <c r="GY30" s="21">
        <f t="shared" si="106"/>
        <v>1.6505669472095488</v>
      </c>
      <c r="GZ30" s="5">
        <v>10</v>
      </c>
      <c r="HA30" s="3">
        <v>0</v>
      </c>
      <c r="HC30" s="5">
        <v>14</v>
      </c>
      <c r="HD30" s="41">
        <v>1.6492500000000001</v>
      </c>
      <c r="HE30" s="34">
        <f t="shared" si="140"/>
        <v>1.0000110130274433</v>
      </c>
      <c r="HF30" s="21">
        <f t="shared" si="107"/>
        <v>1.6492681632355111</v>
      </c>
      <c r="HG30" s="5">
        <v>10</v>
      </c>
      <c r="HH30" s="3">
        <v>2.0000000000000002E-5</v>
      </c>
      <c r="HJ30" s="5">
        <v>14</v>
      </c>
      <c r="HK30" s="41">
        <v>1.64947</v>
      </c>
      <c r="HL30" s="34">
        <f t="shared" si="141"/>
        <v>1.0000017099919989</v>
      </c>
      <c r="HM30" s="21">
        <f t="shared" si="108"/>
        <v>1.6494728205805025</v>
      </c>
      <c r="HN30" s="5">
        <v>10</v>
      </c>
      <c r="HO30" s="3">
        <v>0</v>
      </c>
      <c r="HQ30" s="5">
        <v>14</v>
      </c>
      <c r="HR30" s="41">
        <v>1.65045</v>
      </c>
      <c r="HS30" s="34">
        <f t="shared" si="142"/>
        <v>1.0000083460172822</v>
      </c>
      <c r="HT30" s="21">
        <f t="shared" si="109"/>
        <v>1.6504637746842232</v>
      </c>
      <c r="HU30" s="5">
        <v>10</v>
      </c>
      <c r="HV30" s="3">
        <v>1.0000000000000001E-5</v>
      </c>
    </row>
    <row r="31" spans="1:230" ht="15.75" x14ac:dyDescent="0.25">
      <c r="A31" s="5">
        <v>15</v>
      </c>
      <c r="B31" s="5">
        <v>1.8801699999999999</v>
      </c>
      <c r="C31" s="5">
        <f t="shared" si="77"/>
        <v>1.0000061620089611</v>
      </c>
      <c r="D31" s="21">
        <f t="shared" si="0"/>
        <v>1.8801815856243882</v>
      </c>
      <c r="E31" s="5">
        <v>10</v>
      </c>
      <c r="F31" s="5">
        <v>2.0000000000000002E-5</v>
      </c>
      <c r="H31" s="5">
        <v>15</v>
      </c>
      <c r="I31" s="5">
        <v>1.8790500000000001</v>
      </c>
      <c r="J31" s="5">
        <f t="shared" si="110"/>
        <v>1.0000070020121616</v>
      </c>
      <c r="K31" s="21">
        <f t="shared" si="143"/>
        <v>1.8790631571309524</v>
      </c>
      <c r="L31" s="5">
        <v>10</v>
      </c>
      <c r="M31" s="5">
        <v>1.0000000000000001E-5</v>
      </c>
      <c r="O31" s="5">
        <v>15</v>
      </c>
      <c r="P31" s="5">
        <v>1.87805</v>
      </c>
      <c r="Q31" s="5">
        <f t="shared" si="111"/>
        <v>1.0000085980182423</v>
      </c>
      <c r="R31" s="21">
        <f t="shared" si="144"/>
        <v>1.8780661475081599</v>
      </c>
      <c r="S31" s="5">
        <v>10</v>
      </c>
      <c r="T31" s="5"/>
      <c r="V31" s="5">
        <v>15</v>
      </c>
      <c r="W31" s="5">
        <v>1.8688899999999999</v>
      </c>
      <c r="X31" s="5">
        <f t="shared" si="112"/>
        <v>1.0000085980182423</v>
      </c>
      <c r="Y31" s="21">
        <f t="shared" si="145"/>
        <v>1.8689060687503127</v>
      </c>
      <c r="Z31" s="5">
        <v>10</v>
      </c>
      <c r="AA31" s="5">
        <v>1.0000000000000001E-5</v>
      </c>
      <c r="AC31" s="5">
        <v>15</v>
      </c>
      <c r="AD31" s="5">
        <v>1.87761</v>
      </c>
      <c r="AE31" s="5">
        <f t="shared" si="113"/>
        <v>1.0000062460092811</v>
      </c>
      <c r="AF31" s="21">
        <f t="shared" si="146"/>
        <v>1.8776217275694864</v>
      </c>
      <c r="AG31" s="5">
        <v>10</v>
      </c>
      <c r="AH31" s="5"/>
      <c r="AJ31" s="5">
        <v>15</v>
      </c>
      <c r="AK31" s="5">
        <v>1.8779699999999999</v>
      </c>
      <c r="AL31" s="5">
        <f t="shared" si="114"/>
        <v>1.0000126300336041</v>
      </c>
      <c r="AM31" s="21">
        <f t="shared" si="147"/>
        <v>1.8779937188242073</v>
      </c>
      <c r="AN31" s="5">
        <v>10</v>
      </c>
      <c r="AO31" s="5"/>
      <c r="AQ31" s="5">
        <v>15</v>
      </c>
      <c r="AR31" s="9">
        <v>1.8794500000000001</v>
      </c>
      <c r="AS31" s="5">
        <f t="shared" si="115"/>
        <v>1.0000023819945592</v>
      </c>
      <c r="AT31" s="21">
        <f t="shared" si="148"/>
        <v>1.8794544768396744</v>
      </c>
      <c r="AU31" s="5">
        <v>10</v>
      </c>
      <c r="AV31" s="5">
        <v>0</v>
      </c>
      <c r="AX31" s="5">
        <v>15</v>
      </c>
      <c r="AY31" s="9">
        <v>1.8786499999999999</v>
      </c>
      <c r="AZ31" s="5">
        <f t="shared" si="116"/>
        <v>1.0000013739907188</v>
      </c>
      <c r="BA31" s="21">
        <f t="shared" si="149"/>
        <v>1.8786525812476638</v>
      </c>
      <c r="BB31" s="5">
        <v>10</v>
      </c>
      <c r="BC31" s="5">
        <v>1.0000000000000001E-5</v>
      </c>
      <c r="BE31" s="5">
        <v>15</v>
      </c>
      <c r="BF31" s="9">
        <v>1.8805099999999999</v>
      </c>
      <c r="BG31" s="5">
        <f t="shared" si="117"/>
        <v>1.0000065820105613</v>
      </c>
      <c r="BH31" s="21">
        <f t="shared" si="150"/>
        <v>1.8805223775366804</v>
      </c>
      <c r="BI31" s="5">
        <v>10</v>
      </c>
      <c r="BJ31" s="5">
        <v>2.0000000000000002E-5</v>
      </c>
      <c r="BL31" s="5">
        <v>15</v>
      </c>
      <c r="BM31" s="3">
        <v>1.87761</v>
      </c>
      <c r="BN31" s="5">
        <f t="shared" si="118"/>
        <v>1.0000029699967996</v>
      </c>
      <c r="BO31" s="21">
        <f t="shared" si="119"/>
        <v>1.877615576495691</v>
      </c>
      <c r="BP31" s="5">
        <v>10</v>
      </c>
      <c r="BQ31" s="3">
        <v>1.0000000000000001E-5</v>
      </c>
      <c r="BS31" s="5">
        <v>15</v>
      </c>
      <c r="BT31" s="3">
        <v>1.87798</v>
      </c>
      <c r="BU31" s="5">
        <f t="shared" si="120"/>
        <v>1.0000121680318441</v>
      </c>
      <c r="BV31" s="21">
        <f t="shared" si="87"/>
        <v>1.8780028513204425</v>
      </c>
      <c r="BW31" s="5">
        <v>10</v>
      </c>
      <c r="BX31" s="3">
        <v>1.0000000000000001E-5</v>
      </c>
      <c r="BZ31" s="5">
        <v>15</v>
      </c>
      <c r="CA31" s="41">
        <v>1.8771199999999999</v>
      </c>
      <c r="CB31" s="5">
        <f t="shared" si="121"/>
        <v>1.0000072540131217</v>
      </c>
      <c r="CC31" s="21">
        <f t="shared" si="88"/>
        <v>1.877133616653111</v>
      </c>
      <c r="CD31" s="5">
        <v>10</v>
      </c>
      <c r="CE31" s="3">
        <v>1.0000000000000001E-5</v>
      </c>
      <c r="CG31" s="5">
        <v>15</v>
      </c>
      <c r="CH31" s="41">
        <v>1.87717</v>
      </c>
      <c r="CI31" s="5">
        <f t="shared" si="122"/>
        <v>1.0000114540291236</v>
      </c>
      <c r="CJ31" s="21">
        <f t="shared" si="89"/>
        <v>1.8771915011598499</v>
      </c>
      <c r="CK31" s="5">
        <v>10</v>
      </c>
      <c r="CL31" s="3">
        <v>1.0000000000000001E-5</v>
      </c>
      <c r="CN31" s="5">
        <v>15</v>
      </c>
      <c r="CO31" s="41">
        <v>1.8769199999999999</v>
      </c>
      <c r="CP31" s="5">
        <f t="shared" si="123"/>
        <v>1.0000017099919989</v>
      </c>
      <c r="CQ31" s="21">
        <f t="shared" si="90"/>
        <v>1.8769232095181825</v>
      </c>
      <c r="CR31" s="5">
        <v>10</v>
      </c>
      <c r="CS31" s="3">
        <v>0</v>
      </c>
      <c r="CU31" s="5">
        <v>15</v>
      </c>
      <c r="CV31" s="41">
        <v>1.8776299999999999</v>
      </c>
      <c r="CW31" s="5">
        <f t="shared" si="124"/>
        <v>1.0000017099919989</v>
      </c>
      <c r="CX31" s="21">
        <f t="shared" si="91"/>
        <v>1.8776332107322768</v>
      </c>
      <c r="CY31" s="5">
        <v>10</v>
      </c>
      <c r="CZ31" s="3">
        <v>1.0000000000000001E-5</v>
      </c>
      <c r="DB31" s="5">
        <v>15</v>
      </c>
      <c r="DC31" s="41">
        <v>1.8787</v>
      </c>
      <c r="DD31" s="5">
        <f t="shared" si="125"/>
        <v>1.0000012059900787</v>
      </c>
      <c r="DE31" s="21">
        <f t="shared" si="92"/>
        <v>1.8787022656935608</v>
      </c>
      <c r="DF31" s="5">
        <v>10</v>
      </c>
      <c r="DG31" s="3">
        <v>0</v>
      </c>
      <c r="DI31" s="5">
        <v>15</v>
      </c>
      <c r="DJ31" s="41">
        <v>1.87886</v>
      </c>
      <c r="DK31" s="5">
        <f t="shared" si="126"/>
        <v>1.0000036839995199</v>
      </c>
      <c r="DL31" s="21">
        <f t="shared" si="93"/>
        <v>1.8788669217193379</v>
      </c>
      <c r="DM31" s="5">
        <v>10</v>
      </c>
      <c r="DN31" s="3">
        <v>1.0000000000000001E-5</v>
      </c>
      <c r="DP31" s="5">
        <v>15</v>
      </c>
      <c r="DQ31" s="41">
        <v>1.8779300000000001</v>
      </c>
      <c r="DR31" s="5">
        <f t="shared" si="127"/>
        <v>1.0000032219977597</v>
      </c>
      <c r="DS31" s="21">
        <f t="shared" si="94"/>
        <v>1.877936050686253</v>
      </c>
      <c r="DT31" s="5">
        <v>10</v>
      </c>
      <c r="DU31" s="3">
        <v>1.0000000000000001E-5</v>
      </c>
      <c r="DW31" s="5">
        <v>15</v>
      </c>
      <c r="DX31" s="41">
        <v>1.87903</v>
      </c>
      <c r="DY31" s="5">
        <f t="shared" si="128"/>
        <v>1.0000051960052807</v>
      </c>
      <c r="DZ31" s="21">
        <f t="shared" si="95"/>
        <v>1.8790397634498026</v>
      </c>
      <c r="EA31" s="5">
        <v>10</v>
      </c>
      <c r="EB31" s="3">
        <v>1.0000000000000001E-5</v>
      </c>
      <c r="ED31" s="5">
        <v>15</v>
      </c>
      <c r="EE31" s="41">
        <v>1.8794599999999999</v>
      </c>
      <c r="EF31" s="5">
        <f t="shared" si="129"/>
        <v>1.0000114120289636</v>
      </c>
      <c r="EG31" s="21">
        <f t="shared" si="96"/>
        <v>1.8794814484519557</v>
      </c>
      <c r="EH31" s="5">
        <v>10</v>
      </c>
      <c r="EI31" s="3">
        <v>1.0000000000000001E-5</v>
      </c>
      <c r="EK31" s="5">
        <v>15</v>
      </c>
      <c r="EL31" s="41">
        <v>1.87761</v>
      </c>
      <c r="EM31" s="34">
        <f t="shared" si="130"/>
        <v>1.0000063720097612</v>
      </c>
      <c r="EN31" s="21">
        <f t="shared" si="97"/>
        <v>1.8776219641492478</v>
      </c>
      <c r="EO31" s="5">
        <v>10</v>
      </c>
      <c r="EP31" s="3">
        <v>0</v>
      </c>
      <c r="ER31" s="5">
        <v>15</v>
      </c>
      <c r="ES31" s="41">
        <v>1.87887</v>
      </c>
      <c r="ET31" s="34">
        <f t="shared" si="131"/>
        <v>1.0000127560340841</v>
      </c>
      <c r="EU31" s="21">
        <f t="shared" si="98"/>
        <v>1.8788939669297597</v>
      </c>
      <c r="EV31" s="5">
        <v>10</v>
      </c>
      <c r="EW31" s="3">
        <v>0</v>
      </c>
      <c r="EY31" s="5">
        <v>15</v>
      </c>
      <c r="EZ31" s="41">
        <v>1.8788100000000001</v>
      </c>
      <c r="FA31" s="34">
        <f t="shared" si="132"/>
        <v>1.0000031589975196</v>
      </c>
      <c r="FB31" s="21">
        <f t="shared" si="99"/>
        <v>1.8788159351561298</v>
      </c>
      <c r="FC31" s="5">
        <v>10</v>
      </c>
      <c r="FD31" s="3">
        <v>1.0000000000000001E-5</v>
      </c>
      <c r="FF31" s="5">
        <v>15</v>
      </c>
      <c r="FG31" s="41">
        <v>1.8786799999999999</v>
      </c>
      <c r="FH31" s="34">
        <f t="shared" si="133"/>
        <v>1.0000045660028802</v>
      </c>
      <c r="FI31" s="21">
        <f t="shared" si="100"/>
        <v>1.8786885780582909</v>
      </c>
      <c r="FJ31" s="5">
        <v>10</v>
      </c>
      <c r="FK31" s="3">
        <v>1.0000000000000001E-5</v>
      </c>
      <c r="FM31" s="5">
        <v>15</v>
      </c>
      <c r="FN31" s="41">
        <v>1.8776299999999999</v>
      </c>
      <c r="FO31" s="34">
        <f t="shared" si="134"/>
        <v>1.0000011219897587</v>
      </c>
      <c r="FP31" s="21">
        <f t="shared" si="101"/>
        <v>1.8776321066816304</v>
      </c>
      <c r="FQ31" s="5">
        <v>10</v>
      </c>
      <c r="FR31" s="3">
        <v>0</v>
      </c>
      <c r="FT31" s="5">
        <v>15</v>
      </c>
      <c r="FU31" s="41">
        <v>1.87897</v>
      </c>
      <c r="FV31" s="34">
        <f t="shared" si="135"/>
        <v>0.99999952598367792</v>
      </c>
      <c r="FW31" s="21">
        <f t="shared" si="102"/>
        <v>1.8789691093375513</v>
      </c>
      <c r="FX31" s="5">
        <v>10</v>
      </c>
      <c r="FY31" s="3">
        <v>1.0000000000000001E-5</v>
      </c>
      <c r="GA31" s="5">
        <v>15</v>
      </c>
      <c r="GB31" s="41">
        <v>1.8792199999999999</v>
      </c>
      <c r="GC31" s="34">
        <f t="shared" si="136"/>
        <v>1.0000018359924789</v>
      </c>
      <c r="GD31" s="21">
        <f t="shared" si="103"/>
        <v>1.8792234502337861</v>
      </c>
      <c r="GE31" s="5">
        <v>10</v>
      </c>
      <c r="GF31" s="3">
        <v>0</v>
      </c>
      <c r="GH31" s="5">
        <v>15</v>
      </c>
      <c r="GI31" s="41">
        <v>1.8787100000000001</v>
      </c>
      <c r="GJ31" s="34">
        <f t="shared" si="137"/>
        <v>1.0000019199927992</v>
      </c>
      <c r="GK31" s="21">
        <f t="shared" si="104"/>
        <v>1.8787136071096719</v>
      </c>
      <c r="GL31" s="5">
        <v>10</v>
      </c>
      <c r="GM31" s="3">
        <v>1.0000000000000001E-5</v>
      </c>
      <c r="GO31" s="5">
        <v>15</v>
      </c>
      <c r="GP31" s="41">
        <v>1.87812</v>
      </c>
      <c r="GQ31" s="34">
        <f t="shared" si="138"/>
        <v>1.0000009329890385</v>
      </c>
      <c r="GR31" s="21">
        <f t="shared" si="105"/>
        <v>1.878121752265373</v>
      </c>
      <c r="GS31" s="5">
        <v>10</v>
      </c>
      <c r="GT31" s="3">
        <v>0</v>
      </c>
      <c r="GV31" s="5">
        <v>15</v>
      </c>
      <c r="GW31" s="41">
        <v>1.87904</v>
      </c>
      <c r="GX31" s="34">
        <f t="shared" si="139"/>
        <v>1.00000420900152</v>
      </c>
      <c r="GY31" s="21">
        <f t="shared" si="106"/>
        <v>1.8790479088822161</v>
      </c>
      <c r="GZ31" s="5">
        <v>10</v>
      </c>
      <c r="HA31" s="3">
        <v>1.0000000000000001E-5</v>
      </c>
      <c r="HC31" s="5">
        <v>15</v>
      </c>
      <c r="HD31" s="41">
        <v>1.87767</v>
      </c>
      <c r="HE31" s="34">
        <f t="shared" si="140"/>
        <v>1.0000110130274433</v>
      </c>
      <c r="HF31" s="21">
        <f t="shared" si="107"/>
        <v>1.8776906788312395</v>
      </c>
      <c r="HG31" s="5">
        <v>10</v>
      </c>
      <c r="HH31" s="3">
        <v>1.0000000000000001E-5</v>
      </c>
      <c r="HJ31" s="5">
        <v>15</v>
      </c>
      <c r="HK31" s="41">
        <v>1.87788</v>
      </c>
      <c r="HL31" s="34">
        <f t="shared" si="141"/>
        <v>1.0000017099919989</v>
      </c>
      <c r="HM31" s="21">
        <f t="shared" si="108"/>
        <v>1.877883211159775</v>
      </c>
      <c r="HN31" s="5">
        <v>10</v>
      </c>
      <c r="HO31" s="3">
        <v>1.0000000000000001E-5</v>
      </c>
      <c r="HQ31" s="5">
        <v>15</v>
      </c>
      <c r="HR31" s="41">
        <v>1.8789</v>
      </c>
      <c r="HS31" s="34">
        <f t="shared" si="142"/>
        <v>1.0000083460172822</v>
      </c>
      <c r="HT31" s="21">
        <f t="shared" si="109"/>
        <v>1.8789156813318715</v>
      </c>
      <c r="HU31" s="5">
        <v>10</v>
      </c>
      <c r="HV31" s="3">
        <v>1.0000000000000001E-5</v>
      </c>
    </row>
    <row r="32" spans="1:230" ht="15.75" x14ac:dyDescent="0.25">
      <c r="A32" s="5">
        <v>16</v>
      </c>
      <c r="B32" s="5">
        <v>2.0623300000000002</v>
      </c>
      <c r="C32" s="5">
        <f t="shared" si="77"/>
        <v>1.0000061620089611</v>
      </c>
      <c r="D32" s="21">
        <f t="shared" si="0"/>
        <v>2.0623427080959411</v>
      </c>
      <c r="E32" s="5">
        <v>10</v>
      </c>
      <c r="F32" s="5">
        <v>1.0000000000000001E-5</v>
      </c>
      <c r="H32" s="5">
        <v>16</v>
      </c>
      <c r="I32" s="5">
        <v>2.0613999999999999</v>
      </c>
      <c r="J32" s="5">
        <f t="shared" si="110"/>
        <v>1.0000070020121616</v>
      </c>
      <c r="K32" s="21">
        <f t="shared" si="143"/>
        <v>2.0614144339478697</v>
      </c>
      <c r="L32" s="5">
        <v>10</v>
      </c>
      <c r="M32" s="5">
        <v>2.0000000000000002E-5</v>
      </c>
      <c r="O32" s="5">
        <v>16</v>
      </c>
      <c r="P32" s="5">
        <v>2.0603199999999999</v>
      </c>
      <c r="Q32" s="5">
        <f t="shared" si="111"/>
        <v>1.0000085980182423</v>
      </c>
      <c r="R32" s="21">
        <f t="shared" si="144"/>
        <v>2.060337714668945</v>
      </c>
      <c r="S32" s="5">
        <v>10</v>
      </c>
      <c r="T32" s="5"/>
      <c r="V32" s="5">
        <v>16</v>
      </c>
      <c r="W32" s="5">
        <v>2.0511400000000002</v>
      </c>
      <c r="X32" s="5">
        <f t="shared" si="112"/>
        <v>1.0000085980182423</v>
      </c>
      <c r="Y32" s="21">
        <f t="shared" si="145"/>
        <v>2.0511576357391377</v>
      </c>
      <c r="Z32" s="5">
        <v>10</v>
      </c>
      <c r="AA32" s="5">
        <v>1.0000000000000001E-5</v>
      </c>
      <c r="AC32" s="5">
        <v>16</v>
      </c>
      <c r="AD32" s="5">
        <v>2.05986</v>
      </c>
      <c r="AE32" s="5">
        <f t="shared" si="113"/>
        <v>1.0000062460092811</v>
      </c>
      <c r="AF32" s="21">
        <f t="shared" si="146"/>
        <v>2.0598728659046777</v>
      </c>
      <c r="AG32" s="5">
        <v>10</v>
      </c>
      <c r="AH32" s="5"/>
      <c r="AJ32" s="5">
        <v>16</v>
      </c>
      <c r="AK32" s="5">
        <v>2.06019</v>
      </c>
      <c r="AL32" s="5">
        <f t="shared" si="114"/>
        <v>1.0000126300336041</v>
      </c>
      <c r="AM32" s="21">
        <f t="shared" si="147"/>
        <v>2.0602160202689306</v>
      </c>
      <c r="AN32" s="5">
        <v>10</v>
      </c>
      <c r="AO32" s="5"/>
      <c r="AQ32" s="5">
        <v>16</v>
      </c>
      <c r="AR32" s="9">
        <v>2.0616699999999999</v>
      </c>
      <c r="AS32" s="5">
        <f t="shared" si="115"/>
        <v>1.0000023819945592</v>
      </c>
      <c r="AT32" s="21">
        <f t="shared" si="148"/>
        <v>2.0616749108867225</v>
      </c>
      <c r="AU32" s="5">
        <v>10</v>
      </c>
      <c r="AV32" s="5">
        <v>0</v>
      </c>
      <c r="AX32" s="5">
        <v>16</v>
      </c>
      <c r="AY32" s="9">
        <v>2.06101</v>
      </c>
      <c r="AZ32" s="5">
        <f t="shared" si="116"/>
        <v>1.0000013739907188</v>
      </c>
      <c r="BA32" s="21">
        <f t="shared" si="149"/>
        <v>2.0610128318086112</v>
      </c>
      <c r="BB32" s="5">
        <v>10</v>
      </c>
      <c r="BC32" s="5">
        <v>1.0000000000000001E-5</v>
      </c>
      <c r="BE32" s="5">
        <v>16</v>
      </c>
      <c r="BF32" s="9">
        <v>2.0623800000000001</v>
      </c>
      <c r="BG32" s="5">
        <f t="shared" si="117"/>
        <v>1.0000065820105613</v>
      </c>
      <c r="BH32" s="21">
        <f t="shared" si="150"/>
        <v>2.0623935746069413</v>
      </c>
      <c r="BI32" s="5">
        <v>10</v>
      </c>
      <c r="BJ32" s="5">
        <v>1.0000000000000001E-5</v>
      </c>
      <c r="BL32" s="5">
        <v>16</v>
      </c>
      <c r="BM32" s="3">
        <v>2.0600200000000002</v>
      </c>
      <c r="BN32" s="5">
        <f t="shared" si="118"/>
        <v>1.0000029699967996</v>
      </c>
      <c r="BO32" s="21">
        <f t="shared" si="119"/>
        <v>2.0600261182528072</v>
      </c>
      <c r="BP32" s="5">
        <v>10</v>
      </c>
      <c r="BQ32" s="3">
        <v>1.0000000000000001E-5</v>
      </c>
      <c r="BS32" s="5">
        <v>16</v>
      </c>
      <c r="BT32" s="3">
        <v>2.0604399999999998</v>
      </c>
      <c r="BU32" s="5">
        <f t="shared" si="120"/>
        <v>1.0000121680318441</v>
      </c>
      <c r="BV32" s="21">
        <f t="shared" si="87"/>
        <v>2.0604650714995327</v>
      </c>
      <c r="BW32" s="5">
        <v>10</v>
      </c>
      <c r="BX32" s="3">
        <v>1.0000000000000001E-5</v>
      </c>
      <c r="BZ32" s="5">
        <v>16</v>
      </c>
      <c r="CA32" s="41">
        <v>2.0594399999999999</v>
      </c>
      <c r="CB32" s="5">
        <f t="shared" si="121"/>
        <v>1.0000072540131217</v>
      </c>
      <c r="CC32" s="21">
        <f t="shared" si="88"/>
        <v>2.0594549392047834</v>
      </c>
      <c r="CD32" s="5">
        <v>10</v>
      </c>
      <c r="CE32" s="3">
        <v>1.0000000000000001E-5</v>
      </c>
      <c r="CG32" s="5">
        <v>16</v>
      </c>
      <c r="CH32" s="41">
        <v>2.05958</v>
      </c>
      <c r="CI32" s="5">
        <f t="shared" si="122"/>
        <v>1.0000114540291236</v>
      </c>
      <c r="CJ32" s="21">
        <f t="shared" si="89"/>
        <v>2.0596035904893024</v>
      </c>
      <c r="CK32" s="5">
        <v>10</v>
      </c>
      <c r="CL32" s="3">
        <v>1.0000000000000001E-5</v>
      </c>
      <c r="CN32" s="5">
        <v>16</v>
      </c>
      <c r="CO32" s="41">
        <v>2.0592700000000002</v>
      </c>
      <c r="CP32" s="5">
        <f t="shared" si="123"/>
        <v>1.0000017099919989</v>
      </c>
      <c r="CQ32" s="21">
        <f t="shared" si="90"/>
        <v>2.0592735213352236</v>
      </c>
      <c r="CR32" s="5">
        <v>10</v>
      </c>
      <c r="CS32" s="3">
        <v>1.0000000000000001E-5</v>
      </c>
      <c r="CU32" s="5">
        <v>16</v>
      </c>
      <c r="CV32" s="41">
        <v>2.0600399999999999</v>
      </c>
      <c r="CW32" s="5">
        <f t="shared" si="124"/>
        <v>1.0000017099919989</v>
      </c>
      <c r="CX32" s="21">
        <f t="shared" si="91"/>
        <v>2.0600435226519171</v>
      </c>
      <c r="CY32" s="5">
        <v>10</v>
      </c>
      <c r="CZ32" s="3">
        <v>0</v>
      </c>
      <c r="DB32" s="5">
        <v>16</v>
      </c>
      <c r="DC32" s="41">
        <v>2.0610900000000001</v>
      </c>
      <c r="DD32" s="5">
        <f t="shared" si="125"/>
        <v>1.0000012059900787</v>
      </c>
      <c r="DE32" s="21">
        <f t="shared" si="92"/>
        <v>2.0610924856540915</v>
      </c>
      <c r="DF32" s="5">
        <v>10</v>
      </c>
      <c r="DG32" s="3">
        <v>0</v>
      </c>
      <c r="DI32" s="5">
        <v>16</v>
      </c>
      <c r="DJ32" s="41">
        <v>2.0612400000000002</v>
      </c>
      <c r="DK32" s="5">
        <f t="shared" si="126"/>
        <v>1.0000036839995199</v>
      </c>
      <c r="DL32" s="21">
        <f t="shared" si="93"/>
        <v>2.0612475936071704</v>
      </c>
      <c r="DM32" s="5">
        <v>10</v>
      </c>
      <c r="DN32" s="3">
        <v>1.0000000000000001E-5</v>
      </c>
      <c r="DP32" s="5">
        <v>16</v>
      </c>
      <c r="DQ32" s="41">
        <v>2.0603199999999999</v>
      </c>
      <c r="DR32" s="5">
        <f t="shared" si="127"/>
        <v>1.0000032219977597</v>
      </c>
      <c r="DS32" s="21">
        <f t="shared" si="94"/>
        <v>2.060326638346424</v>
      </c>
      <c r="DT32" s="5">
        <v>10</v>
      </c>
      <c r="DU32" s="3">
        <v>1.0000000000000001E-5</v>
      </c>
      <c r="DW32" s="5">
        <v>16</v>
      </c>
      <c r="DX32" s="41">
        <v>2.0614300000000001</v>
      </c>
      <c r="DY32" s="5">
        <f t="shared" si="128"/>
        <v>1.0000051960052807</v>
      </c>
      <c r="DZ32" s="21">
        <f t="shared" si="95"/>
        <v>2.0614407112011661</v>
      </c>
      <c r="EA32" s="5">
        <v>10</v>
      </c>
      <c r="EB32" s="3">
        <v>1.0000000000000001E-5</v>
      </c>
      <c r="ED32" s="5">
        <v>16</v>
      </c>
      <c r="EE32" s="41">
        <v>2.06189</v>
      </c>
      <c r="EF32" s="5">
        <f t="shared" si="129"/>
        <v>1.0000114120289636</v>
      </c>
      <c r="EG32" s="21">
        <f t="shared" si="96"/>
        <v>2.0619135303484</v>
      </c>
      <c r="EH32" s="5">
        <v>10</v>
      </c>
      <c r="EI32" s="3">
        <v>1.0000000000000001E-5</v>
      </c>
      <c r="EK32" s="5">
        <v>16</v>
      </c>
      <c r="EL32" s="41">
        <v>2.0600399999999999</v>
      </c>
      <c r="EM32" s="34">
        <f t="shared" si="130"/>
        <v>1.0000063720097612</v>
      </c>
      <c r="EN32" s="21">
        <f t="shared" si="97"/>
        <v>2.0600531265949882</v>
      </c>
      <c r="EO32" s="5">
        <v>10</v>
      </c>
      <c r="EP32" s="3">
        <v>1.0000000000000001E-5</v>
      </c>
      <c r="ER32" s="5">
        <v>16</v>
      </c>
      <c r="ES32" s="41">
        <v>2.0612900000000001</v>
      </c>
      <c r="ET32" s="34">
        <f t="shared" si="131"/>
        <v>1.0000127560340841</v>
      </c>
      <c r="EU32" s="21">
        <f t="shared" si="98"/>
        <v>2.0613162938854974</v>
      </c>
      <c r="EV32" s="5">
        <v>10</v>
      </c>
      <c r="EW32" s="3">
        <v>0</v>
      </c>
      <c r="EY32" s="5">
        <v>16</v>
      </c>
      <c r="EZ32" s="41">
        <v>2.0612200000000001</v>
      </c>
      <c r="FA32" s="34">
        <f t="shared" si="132"/>
        <v>1.0000031589975196</v>
      </c>
      <c r="FB32" s="21">
        <f t="shared" si="99"/>
        <v>2.0612265113888673</v>
      </c>
      <c r="FC32" s="5">
        <v>10</v>
      </c>
      <c r="FD32" s="3">
        <v>0</v>
      </c>
      <c r="FF32" s="5">
        <v>16</v>
      </c>
      <c r="FG32" s="41">
        <v>2.0610200000000001</v>
      </c>
      <c r="FH32" s="34">
        <f t="shared" si="133"/>
        <v>1.0000045660028802</v>
      </c>
      <c r="FI32" s="21">
        <f t="shared" si="100"/>
        <v>2.0610294106232563</v>
      </c>
      <c r="FJ32" s="5">
        <v>10</v>
      </c>
      <c r="FK32" s="3">
        <v>1.0000000000000001E-5</v>
      </c>
      <c r="FM32" s="5">
        <v>16</v>
      </c>
      <c r="FN32" s="41">
        <v>2.0600200000000002</v>
      </c>
      <c r="FO32" s="34">
        <f t="shared" si="134"/>
        <v>1.0000011219897587</v>
      </c>
      <c r="FP32" s="21">
        <f t="shared" si="101"/>
        <v>2.0600223113213429</v>
      </c>
      <c r="FQ32" s="5">
        <v>10</v>
      </c>
      <c r="FR32" s="3">
        <v>0</v>
      </c>
      <c r="FT32" s="5">
        <v>16</v>
      </c>
      <c r="FU32" s="41">
        <v>2.06134</v>
      </c>
      <c r="FV32" s="34">
        <f t="shared" si="135"/>
        <v>0.99999952598367792</v>
      </c>
      <c r="FW32" s="21">
        <f t="shared" si="102"/>
        <v>2.0613390228911945</v>
      </c>
      <c r="FX32" s="5">
        <v>10</v>
      </c>
      <c r="FY32" s="3">
        <v>1.0000000000000001E-5</v>
      </c>
      <c r="GA32" s="5">
        <v>16</v>
      </c>
      <c r="GB32" s="41">
        <v>2.0615999999999999</v>
      </c>
      <c r="GC32" s="34">
        <f t="shared" si="136"/>
        <v>1.0000018359924789</v>
      </c>
      <c r="GD32" s="21">
        <f t="shared" si="103"/>
        <v>2.0616037850820943</v>
      </c>
      <c r="GE32" s="5">
        <v>10</v>
      </c>
      <c r="GF32" s="3">
        <v>0</v>
      </c>
      <c r="GH32" s="5">
        <v>16</v>
      </c>
      <c r="GI32" s="41">
        <v>2.06108</v>
      </c>
      <c r="GJ32" s="34">
        <f t="shared" si="137"/>
        <v>1.0000019199927992</v>
      </c>
      <c r="GK32" s="21">
        <f t="shared" si="104"/>
        <v>2.0610839572587585</v>
      </c>
      <c r="GL32" s="5">
        <v>10</v>
      </c>
      <c r="GM32" s="3">
        <v>1.0000000000000001E-5</v>
      </c>
      <c r="GO32" s="5">
        <v>16</v>
      </c>
      <c r="GP32" s="41">
        <v>2.0605199999999999</v>
      </c>
      <c r="GQ32" s="34">
        <f t="shared" si="138"/>
        <v>1.0000009329890385</v>
      </c>
      <c r="GR32" s="21">
        <f t="shared" si="105"/>
        <v>2.0605219224425735</v>
      </c>
      <c r="GS32" s="5">
        <v>10</v>
      </c>
      <c r="GT32" s="3">
        <v>1.0000000000000001E-5</v>
      </c>
      <c r="GV32" s="5">
        <v>16</v>
      </c>
      <c r="GW32" s="41">
        <v>2.0614400000000002</v>
      </c>
      <c r="GX32" s="34">
        <f t="shared" si="139"/>
        <v>1.00000420900152</v>
      </c>
      <c r="GY32" s="21">
        <f t="shared" si="106"/>
        <v>2.0614486766040936</v>
      </c>
      <c r="GZ32" s="5">
        <v>10</v>
      </c>
      <c r="HA32" s="3">
        <v>1.0000000000000001E-5</v>
      </c>
      <c r="HC32" s="5">
        <v>16</v>
      </c>
      <c r="HD32" s="41">
        <v>2.0601500000000001</v>
      </c>
      <c r="HE32" s="34">
        <f t="shared" si="140"/>
        <v>1.0000110130274433</v>
      </c>
      <c r="HF32" s="21">
        <f t="shared" si="107"/>
        <v>2.0601726884884877</v>
      </c>
      <c r="HG32" s="5">
        <v>10</v>
      </c>
      <c r="HH32" s="3">
        <v>1.0000000000000001E-5</v>
      </c>
      <c r="HJ32" s="5">
        <v>16</v>
      </c>
      <c r="HK32" s="41">
        <v>2.0603199999999999</v>
      </c>
      <c r="HL32" s="34">
        <f t="shared" si="141"/>
        <v>1.0000017099919989</v>
      </c>
      <c r="HM32" s="21">
        <f t="shared" si="108"/>
        <v>2.0603235231307151</v>
      </c>
      <c r="HN32" s="5">
        <v>10</v>
      </c>
      <c r="HO32" s="3">
        <v>1.0000000000000001E-5</v>
      </c>
      <c r="HQ32" s="5">
        <v>16</v>
      </c>
      <c r="HR32" s="41">
        <v>2.0613199999999998</v>
      </c>
      <c r="HS32" s="34">
        <f t="shared" si="142"/>
        <v>1.0000083460172822</v>
      </c>
      <c r="HT32" s="21">
        <f t="shared" si="109"/>
        <v>2.0613372038123439</v>
      </c>
      <c r="HU32" s="5">
        <v>10</v>
      </c>
      <c r="HV32" s="3">
        <v>1.0000000000000001E-5</v>
      </c>
    </row>
    <row r="33" spans="1:230" ht="15.75" x14ac:dyDescent="0.25">
      <c r="A33" s="5">
        <v>17</v>
      </c>
      <c r="B33" s="5">
        <v>2.21428</v>
      </c>
      <c r="C33" s="5">
        <f t="shared" si="77"/>
        <v>1.0000061620089611</v>
      </c>
      <c r="D33" s="21">
        <f t="shared" si="0"/>
        <v>2.2142936444132024</v>
      </c>
      <c r="E33" s="5">
        <v>10</v>
      </c>
      <c r="F33" s="5">
        <v>1.0000000000000001E-5</v>
      </c>
      <c r="H33" s="5">
        <v>17</v>
      </c>
      <c r="I33" s="5">
        <v>2.21332</v>
      </c>
      <c r="J33" s="5">
        <f t="shared" si="110"/>
        <v>1.0000070020121616</v>
      </c>
      <c r="K33" s="21">
        <f t="shared" si="143"/>
        <v>2.2133354976935578</v>
      </c>
      <c r="L33" s="5">
        <v>10</v>
      </c>
      <c r="M33" s="5">
        <v>1.0000000000000001E-5</v>
      </c>
      <c r="O33" s="5">
        <v>17</v>
      </c>
      <c r="P33" s="5">
        <v>2.2123400000000002</v>
      </c>
      <c r="Q33" s="5">
        <f t="shared" si="111"/>
        <v>1.0000085980182423</v>
      </c>
      <c r="R33" s="21">
        <f t="shared" si="144"/>
        <v>2.2123590217396782</v>
      </c>
      <c r="S33" s="5">
        <v>10</v>
      </c>
      <c r="T33" s="5"/>
      <c r="V33" s="5">
        <v>17</v>
      </c>
      <c r="W33" s="5">
        <v>2.2031399999999999</v>
      </c>
      <c r="X33" s="5">
        <f t="shared" si="112"/>
        <v>1.0000085980182423</v>
      </c>
      <c r="Y33" s="21">
        <f t="shared" si="145"/>
        <v>2.2031589426379101</v>
      </c>
      <c r="Z33" s="5">
        <v>10</v>
      </c>
      <c r="AA33" s="5">
        <v>1.0000000000000001E-5</v>
      </c>
      <c r="AC33" s="5">
        <v>17</v>
      </c>
      <c r="AD33" s="5">
        <v>2.2118600000000002</v>
      </c>
      <c r="AE33" s="5">
        <f t="shared" si="113"/>
        <v>1.0000062460092811</v>
      </c>
      <c r="AF33" s="21">
        <f t="shared" si="146"/>
        <v>2.2118738152980888</v>
      </c>
      <c r="AG33" s="5">
        <v>10</v>
      </c>
      <c r="AH33" s="5"/>
      <c r="AJ33" s="5">
        <v>17</v>
      </c>
      <c r="AK33" s="5">
        <v>2.2122000000000002</v>
      </c>
      <c r="AL33" s="5">
        <f t="shared" si="114"/>
        <v>1.0000126300336041</v>
      </c>
      <c r="AM33" s="21">
        <f t="shared" si="147"/>
        <v>2.2122279401603393</v>
      </c>
      <c r="AN33" s="5">
        <v>10</v>
      </c>
      <c r="AO33" s="5"/>
      <c r="AQ33" s="5">
        <v>17</v>
      </c>
      <c r="AR33" s="9">
        <v>2.2136100000000001</v>
      </c>
      <c r="AS33" s="5">
        <f t="shared" si="115"/>
        <v>1.0000023819945592</v>
      </c>
      <c r="AT33" s="21">
        <f t="shared" si="148"/>
        <v>2.213615272806976</v>
      </c>
      <c r="AU33" s="5">
        <v>10</v>
      </c>
      <c r="AV33" s="5">
        <v>1.0000000000000001E-5</v>
      </c>
      <c r="AX33" s="5">
        <v>17</v>
      </c>
      <c r="AY33" s="9">
        <v>2.2128000000000001</v>
      </c>
      <c r="AZ33" s="5">
        <f t="shared" si="116"/>
        <v>1.0000013739907188</v>
      </c>
      <c r="BA33" s="21">
        <f t="shared" si="149"/>
        <v>2.2128030403666625</v>
      </c>
      <c r="BB33" s="5">
        <v>10</v>
      </c>
      <c r="BC33" s="5">
        <v>2.0000000000000002E-5</v>
      </c>
      <c r="BE33" s="5">
        <v>17</v>
      </c>
      <c r="BF33" s="9">
        <v>2.2146400000000002</v>
      </c>
      <c r="BG33" s="5">
        <f t="shared" si="117"/>
        <v>1.0000065820105613</v>
      </c>
      <c r="BH33" s="21">
        <f t="shared" si="150"/>
        <v>2.2146545767838695</v>
      </c>
      <c r="BI33" s="5">
        <v>10</v>
      </c>
      <c r="BJ33" s="5">
        <v>1.0000000000000001E-5</v>
      </c>
      <c r="BL33" s="5">
        <v>17</v>
      </c>
      <c r="BM33" s="3">
        <v>2.21184</v>
      </c>
      <c r="BN33" s="5">
        <f t="shared" si="118"/>
        <v>1.0000029699967996</v>
      </c>
      <c r="BO33" s="21">
        <f t="shared" si="119"/>
        <v>2.2118465691577214</v>
      </c>
      <c r="BP33" s="5">
        <v>10</v>
      </c>
      <c r="BQ33" s="3">
        <v>1.0000000000000001E-5</v>
      </c>
      <c r="BS33" s="5">
        <v>17</v>
      </c>
      <c r="BT33" s="3">
        <v>2.2122799999999998</v>
      </c>
      <c r="BU33" s="5">
        <f t="shared" si="120"/>
        <v>1.0000121680318441</v>
      </c>
      <c r="BV33" s="21">
        <f t="shared" si="87"/>
        <v>2.2123069190934879</v>
      </c>
      <c r="BW33" s="5">
        <v>10</v>
      </c>
      <c r="BX33" s="3">
        <v>1.0000000000000001E-5</v>
      </c>
      <c r="BZ33" s="5">
        <v>17</v>
      </c>
      <c r="CA33" s="41">
        <v>2.2113700000000001</v>
      </c>
      <c r="CB33" s="5">
        <f t="shared" si="121"/>
        <v>1.0000072540131217</v>
      </c>
      <c r="CC33" s="21">
        <f t="shared" si="88"/>
        <v>2.211386041306997</v>
      </c>
      <c r="CD33" s="5">
        <v>10</v>
      </c>
      <c r="CE33" s="3">
        <v>1.0000000000000001E-5</v>
      </c>
      <c r="CG33" s="5">
        <v>17</v>
      </c>
      <c r="CH33" s="41">
        <v>2.2114400000000001</v>
      </c>
      <c r="CI33" s="5">
        <f t="shared" si="122"/>
        <v>1.0000114540291236</v>
      </c>
      <c r="CJ33" s="21">
        <f t="shared" si="89"/>
        <v>2.2114653298981652</v>
      </c>
      <c r="CK33" s="5">
        <v>10</v>
      </c>
      <c r="CL33" s="3">
        <v>1.0000000000000001E-5</v>
      </c>
      <c r="CN33" s="5">
        <v>17</v>
      </c>
      <c r="CO33" s="41">
        <v>2.2111100000000001</v>
      </c>
      <c r="CP33" s="5">
        <f t="shared" si="123"/>
        <v>1.0000017099919989</v>
      </c>
      <c r="CQ33" s="21">
        <f t="shared" si="90"/>
        <v>2.2111137809804089</v>
      </c>
      <c r="CR33" s="5">
        <v>10</v>
      </c>
      <c r="CS33" s="3">
        <v>1.0000000000000001E-5</v>
      </c>
      <c r="CU33" s="5">
        <v>17</v>
      </c>
      <c r="CV33" s="41">
        <v>2.2118500000000001</v>
      </c>
      <c r="CW33" s="5">
        <f t="shared" si="124"/>
        <v>1.0000017099919989</v>
      </c>
      <c r="CX33" s="21">
        <f t="shared" si="91"/>
        <v>2.2118537822458029</v>
      </c>
      <c r="CY33" s="5">
        <v>10</v>
      </c>
      <c r="CZ33" s="3">
        <v>1.0000000000000001E-5</v>
      </c>
      <c r="DB33" s="5">
        <v>17</v>
      </c>
      <c r="DC33" s="41">
        <v>2.2128199999999998</v>
      </c>
      <c r="DD33" s="5">
        <f t="shared" si="125"/>
        <v>1.0000012059900787</v>
      </c>
      <c r="DE33" s="21">
        <f t="shared" si="92"/>
        <v>2.2128226686389656</v>
      </c>
      <c r="DF33" s="5">
        <v>10</v>
      </c>
      <c r="DG33" s="3">
        <v>0</v>
      </c>
      <c r="DI33" s="5">
        <v>17</v>
      </c>
      <c r="DJ33" s="41">
        <v>2.2130000000000001</v>
      </c>
      <c r="DK33" s="5">
        <f t="shared" si="126"/>
        <v>1.0000036839995199</v>
      </c>
      <c r="DL33" s="21">
        <f t="shared" si="93"/>
        <v>2.2130081526909375</v>
      </c>
      <c r="DM33" s="5">
        <v>10</v>
      </c>
      <c r="DN33" s="3">
        <v>0</v>
      </c>
      <c r="DP33" s="5">
        <v>17</v>
      </c>
      <c r="DQ33" s="41">
        <v>2.2120899999999999</v>
      </c>
      <c r="DR33" s="5">
        <f t="shared" si="127"/>
        <v>1.0000032219977597</v>
      </c>
      <c r="DS33" s="21">
        <f t="shared" si="94"/>
        <v>2.2120971273490242</v>
      </c>
      <c r="DT33" s="5">
        <v>10</v>
      </c>
      <c r="DU33" s="3">
        <v>1.0000000000000001E-5</v>
      </c>
      <c r="DW33" s="5">
        <v>17</v>
      </c>
      <c r="DX33" s="41">
        <v>2.2133099999999999</v>
      </c>
      <c r="DY33" s="5">
        <f t="shared" si="128"/>
        <v>1.0000051960052807</v>
      </c>
      <c r="DZ33" s="21">
        <f t="shared" si="95"/>
        <v>2.2133215003704478</v>
      </c>
      <c r="EA33" s="5">
        <v>10</v>
      </c>
      <c r="EB33" s="3">
        <v>1.0000000000000001E-5</v>
      </c>
      <c r="ED33" s="5">
        <v>17</v>
      </c>
      <c r="EE33" s="41">
        <v>2.2136800000000001</v>
      </c>
      <c r="EF33" s="5">
        <f t="shared" si="129"/>
        <v>1.0000114120289636</v>
      </c>
      <c r="EG33" s="21">
        <f t="shared" si="96"/>
        <v>2.2137052625802762</v>
      </c>
      <c r="EH33" s="5">
        <v>10</v>
      </c>
      <c r="EI33" s="3">
        <v>0</v>
      </c>
      <c r="EK33" s="5">
        <v>17</v>
      </c>
      <c r="EL33" s="41">
        <v>2.2118699999999998</v>
      </c>
      <c r="EM33" s="34">
        <f t="shared" si="130"/>
        <v>1.0000063720097612</v>
      </c>
      <c r="EN33" s="21">
        <f t="shared" si="97"/>
        <v>2.2118840940572304</v>
      </c>
      <c r="EO33" s="5">
        <v>10</v>
      </c>
      <c r="EP33" s="3">
        <v>1.0000000000000001E-5</v>
      </c>
      <c r="ER33" s="5">
        <v>17</v>
      </c>
      <c r="ES33" s="41">
        <v>2.2130999999999998</v>
      </c>
      <c r="ET33" s="34">
        <f t="shared" si="131"/>
        <v>1.0000127560340841</v>
      </c>
      <c r="EU33" s="21">
        <f t="shared" si="98"/>
        <v>2.2131282303790316</v>
      </c>
      <c r="EV33" s="5">
        <v>10</v>
      </c>
      <c r="EW33" s="3">
        <v>1.0000000000000001E-5</v>
      </c>
      <c r="EY33" s="5">
        <v>17</v>
      </c>
      <c r="EZ33" s="41">
        <v>2.2130000000000001</v>
      </c>
      <c r="FA33" s="34">
        <f t="shared" si="132"/>
        <v>1.0000031589975196</v>
      </c>
      <c r="FB33" s="21">
        <f t="shared" si="99"/>
        <v>2.2130069908615111</v>
      </c>
      <c r="FC33" s="5">
        <v>10</v>
      </c>
      <c r="FD33" s="3">
        <v>1.0000000000000001E-5</v>
      </c>
      <c r="FF33" s="5">
        <v>17</v>
      </c>
      <c r="FG33" s="41">
        <v>2.2128899999999998</v>
      </c>
      <c r="FH33" s="34">
        <f t="shared" si="133"/>
        <v>1.0000045660028802</v>
      </c>
      <c r="FI33" s="21">
        <f t="shared" si="100"/>
        <v>2.2129001040621135</v>
      </c>
      <c r="FJ33" s="5">
        <v>10</v>
      </c>
      <c r="FK33" s="3">
        <v>1.0000000000000001E-5</v>
      </c>
      <c r="FM33" s="5">
        <v>17</v>
      </c>
      <c r="FN33" s="41">
        <v>2.2118500000000001</v>
      </c>
      <c r="FO33" s="34">
        <f t="shared" si="134"/>
        <v>1.0000011219897587</v>
      </c>
      <c r="FP33" s="21">
        <f t="shared" si="101"/>
        <v>2.2118524816730476</v>
      </c>
      <c r="FQ33" s="5">
        <v>10</v>
      </c>
      <c r="FR33" s="3">
        <v>0</v>
      </c>
      <c r="FT33" s="5">
        <v>17</v>
      </c>
      <c r="FU33" s="41">
        <v>2.2131500000000002</v>
      </c>
      <c r="FV33" s="34">
        <f t="shared" si="135"/>
        <v>0.99999952598367792</v>
      </c>
      <c r="FW33" s="21">
        <f t="shared" si="102"/>
        <v>2.2131489509307771</v>
      </c>
      <c r="FX33" s="5">
        <v>10</v>
      </c>
      <c r="FY33" s="3">
        <v>0</v>
      </c>
      <c r="GA33" s="5">
        <v>17</v>
      </c>
      <c r="GB33" s="41">
        <v>2.21346</v>
      </c>
      <c r="GC33" s="34">
        <f t="shared" si="136"/>
        <v>1.0000018359924789</v>
      </c>
      <c r="GD33" s="21">
        <f t="shared" si="103"/>
        <v>2.2134640638959122</v>
      </c>
      <c r="GE33" s="5">
        <v>10</v>
      </c>
      <c r="GF33" s="3">
        <v>0</v>
      </c>
      <c r="GH33" s="5">
        <v>17</v>
      </c>
      <c r="GI33" s="41">
        <v>2.21292</v>
      </c>
      <c r="GJ33" s="34">
        <f t="shared" si="137"/>
        <v>1.0000019199927992</v>
      </c>
      <c r="GK33" s="21">
        <f t="shared" si="104"/>
        <v>2.2129242487904652</v>
      </c>
      <c r="GL33" s="5">
        <v>10</v>
      </c>
      <c r="GM33" s="3">
        <v>1.0000000000000001E-5</v>
      </c>
      <c r="GO33" s="5">
        <v>17</v>
      </c>
      <c r="GP33" s="41">
        <v>2.2123699999999999</v>
      </c>
      <c r="GQ33" s="34">
        <f t="shared" si="138"/>
        <v>1.0000009329890385</v>
      </c>
      <c r="GR33" s="21">
        <f t="shared" si="105"/>
        <v>2.2123720641169591</v>
      </c>
      <c r="GS33" s="5">
        <v>10</v>
      </c>
      <c r="GT33" s="3">
        <v>1.0000000000000001E-5</v>
      </c>
      <c r="GV33" s="5">
        <v>17</v>
      </c>
      <c r="GW33" s="41">
        <v>2.2133099999999999</v>
      </c>
      <c r="GX33" s="34">
        <f t="shared" si="139"/>
        <v>1.00000420900152</v>
      </c>
      <c r="GY33" s="21">
        <f t="shared" si="106"/>
        <v>2.2133193158251543</v>
      </c>
      <c r="GZ33" s="5">
        <v>10</v>
      </c>
      <c r="HA33" s="3">
        <v>1.0000000000000001E-5</v>
      </c>
      <c r="HC33" s="5">
        <v>17</v>
      </c>
      <c r="HD33" s="41">
        <v>2.21204</v>
      </c>
      <c r="HE33" s="34">
        <f t="shared" si="140"/>
        <v>1.0000110130274433</v>
      </c>
      <c r="HF33" s="21">
        <f t="shared" si="107"/>
        <v>2.2120643612572257</v>
      </c>
      <c r="HG33" s="5">
        <v>10</v>
      </c>
      <c r="HH33" s="3">
        <v>1.0000000000000001E-5</v>
      </c>
      <c r="HJ33" s="5">
        <v>17</v>
      </c>
      <c r="HK33" s="41">
        <v>2.2121300000000002</v>
      </c>
      <c r="HL33" s="34">
        <f t="shared" si="141"/>
        <v>1.0000017099919989</v>
      </c>
      <c r="HM33" s="21">
        <f t="shared" si="108"/>
        <v>2.2121337827246008</v>
      </c>
      <c r="HN33" s="5">
        <v>10</v>
      </c>
      <c r="HO33" s="3">
        <v>1.0000000000000001E-5</v>
      </c>
      <c r="HQ33" s="5">
        <v>17</v>
      </c>
      <c r="HR33" s="41">
        <v>2.2131500000000002</v>
      </c>
      <c r="HS33" s="34">
        <f t="shared" si="142"/>
        <v>1.0000083460172822</v>
      </c>
      <c r="HT33" s="21">
        <f t="shared" si="109"/>
        <v>2.2131684709881481</v>
      </c>
      <c r="HU33" s="5">
        <v>10</v>
      </c>
      <c r="HV33" s="3">
        <v>1.0000000000000001E-5</v>
      </c>
    </row>
    <row r="34" spans="1:230" ht="15.75" x14ac:dyDescent="0.25">
      <c r="A34" s="5">
        <v>18</v>
      </c>
      <c r="B34" s="5">
        <v>2.3665699999999998</v>
      </c>
      <c r="C34" s="5">
        <f t="shared" si="77"/>
        <v>1.0000061620089611</v>
      </c>
      <c r="D34" s="21">
        <f t="shared" si="0"/>
        <v>2.366584582825547</v>
      </c>
      <c r="E34" s="5">
        <v>10</v>
      </c>
      <c r="F34" s="5">
        <v>1.0000000000000001E-5</v>
      </c>
      <c r="H34" s="5">
        <v>18</v>
      </c>
      <c r="I34" s="5">
        <v>2.3666900000000002</v>
      </c>
      <c r="J34" s="5">
        <f t="shared" si="110"/>
        <v>1.0000070020121616</v>
      </c>
      <c r="K34" s="21">
        <f>I34*J34</f>
        <v>2.3667065715921631</v>
      </c>
      <c r="L34" s="5">
        <v>10</v>
      </c>
      <c r="M34" s="5">
        <v>1.0000000000000001E-5</v>
      </c>
      <c r="O34" s="5">
        <v>18</v>
      </c>
      <c r="P34" s="5">
        <v>2.3656600000000001</v>
      </c>
      <c r="Q34" s="5">
        <f t="shared" si="111"/>
        <v>1.0000085980182423</v>
      </c>
      <c r="R34" s="21">
        <f>P34*Q34</f>
        <v>2.365680339987835</v>
      </c>
      <c r="S34" s="5">
        <v>10</v>
      </c>
      <c r="T34" s="5"/>
      <c r="V34" s="5">
        <v>18</v>
      </c>
      <c r="W34" s="5">
        <v>2.35649</v>
      </c>
      <c r="X34" s="5">
        <f t="shared" si="112"/>
        <v>1.0000085980182423</v>
      </c>
      <c r="Y34" s="21">
        <f>W34*X34</f>
        <v>2.3565102611440079</v>
      </c>
      <c r="Z34" s="5">
        <v>10</v>
      </c>
      <c r="AA34" s="5">
        <v>1.0000000000000001E-5</v>
      </c>
      <c r="AC34" s="5">
        <v>18</v>
      </c>
      <c r="AD34" s="5">
        <v>2.3651900000000001</v>
      </c>
      <c r="AE34" s="5">
        <f t="shared" si="113"/>
        <v>1.0000062460092811</v>
      </c>
      <c r="AF34" s="21">
        <f>AD34*AE34</f>
        <v>2.3652047729986916</v>
      </c>
      <c r="AG34" s="5">
        <v>10</v>
      </c>
      <c r="AH34" s="5"/>
      <c r="AJ34" s="5">
        <v>18</v>
      </c>
      <c r="AK34" s="5">
        <v>2.3654799999999998</v>
      </c>
      <c r="AL34" s="5">
        <f t="shared" si="114"/>
        <v>1.0000126300336041</v>
      </c>
      <c r="AM34" s="21">
        <f>AK34*AL34</f>
        <v>2.3655098760918896</v>
      </c>
      <c r="AN34" s="5">
        <v>10</v>
      </c>
      <c r="AO34" s="5"/>
      <c r="AQ34" s="5">
        <v>18</v>
      </c>
      <c r="AR34" s="9">
        <v>2.3668900000000002</v>
      </c>
      <c r="AS34" s="5">
        <f t="shared" si="115"/>
        <v>1.0000023819945592</v>
      </c>
      <c r="AT34" s="21">
        <f>AR34*AS34</f>
        <v>2.3668956379191024</v>
      </c>
      <c r="AU34" s="5">
        <v>10</v>
      </c>
      <c r="AV34" s="5">
        <v>1.0000000000000001E-5</v>
      </c>
      <c r="AX34" s="5">
        <v>18</v>
      </c>
      <c r="AY34" s="9">
        <v>2.3660700000000001</v>
      </c>
      <c r="AZ34" s="5">
        <f t="shared" si="116"/>
        <v>1.0000013739907188</v>
      </c>
      <c r="BA34" s="21">
        <f>AY34*AZ34</f>
        <v>2.3660732509582201</v>
      </c>
      <c r="BB34" s="5">
        <v>10</v>
      </c>
      <c r="BC34" s="5">
        <v>1.0000000000000001E-5</v>
      </c>
      <c r="BE34" s="5">
        <v>18</v>
      </c>
      <c r="BF34" s="9">
        <v>2.3679700000000001</v>
      </c>
      <c r="BG34" s="5">
        <f t="shared" si="117"/>
        <v>1.0000065820105613</v>
      </c>
      <c r="BH34" s="21">
        <f>BF34*BG34</f>
        <v>2.3679855860035488</v>
      </c>
      <c r="BI34" s="5">
        <v>10</v>
      </c>
      <c r="BJ34" s="5">
        <v>1.0000000000000001E-5</v>
      </c>
      <c r="BL34" s="5">
        <v>18</v>
      </c>
      <c r="BM34" s="3">
        <v>2.3652000000000002</v>
      </c>
      <c r="BN34" s="5">
        <f t="shared" si="118"/>
        <v>1.0000029699967996</v>
      </c>
      <c r="BO34" s="21">
        <f t="shared" si="119"/>
        <v>2.3652070246364305</v>
      </c>
      <c r="BP34" s="5">
        <v>10</v>
      </c>
      <c r="BQ34" s="3">
        <v>1.0000000000000001E-5</v>
      </c>
      <c r="BS34" s="5">
        <v>18</v>
      </c>
      <c r="BT34" s="3">
        <v>2.36557</v>
      </c>
      <c r="BU34" s="5">
        <f t="shared" si="120"/>
        <v>1.0000121680318441</v>
      </c>
      <c r="BV34" s="21">
        <f t="shared" si="87"/>
        <v>2.3655987843310893</v>
      </c>
      <c r="BW34" s="5">
        <v>10</v>
      </c>
      <c r="BX34" s="3">
        <v>1.0000000000000001E-5</v>
      </c>
      <c r="BZ34" s="5">
        <v>18</v>
      </c>
      <c r="CA34" s="41">
        <v>2.36469</v>
      </c>
      <c r="CB34" s="5">
        <f t="shared" si="121"/>
        <v>1.0000072540131217</v>
      </c>
      <c r="CC34" s="21">
        <f t="shared" si="88"/>
        <v>2.3647071534922888</v>
      </c>
      <c r="CD34" s="5">
        <v>10</v>
      </c>
      <c r="CE34" s="3">
        <v>1.0000000000000001E-5</v>
      </c>
      <c r="CG34" s="5">
        <v>18</v>
      </c>
      <c r="CH34" s="41">
        <v>2.3647800000000001</v>
      </c>
      <c r="CI34" s="5">
        <f t="shared" si="122"/>
        <v>1.0000114540291236</v>
      </c>
      <c r="CJ34" s="21">
        <f t="shared" si="89"/>
        <v>2.3648070862589909</v>
      </c>
      <c r="CK34" s="5">
        <v>10</v>
      </c>
      <c r="CL34" s="3">
        <v>1.0000000000000001E-5</v>
      </c>
      <c r="CN34" s="5">
        <v>18</v>
      </c>
      <c r="CO34" s="41">
        <v>2.3644400000000001</v>
      </c>
      <c r="CP34" s="5">
        <f t="shared" si="123"/>
        <v>1.0000017099919989</v>
      </c>
      <c r="CQ34" s="21">
        <f t="shared" si="90"/>
        <v>2.3644440431734819</v>
      </c>
      <c r="CR34" s="5">
        <v>10</v>
      </c>
      <c r="CS34" s="3">
        <v>1.0000000000000001E-5</v>
      </c>
      <c r="CU34" s="5">
        <v>18</v>
      </c>
      <c r="CV34" s="41">
        <v>2.3651200000000001</v>
      </c>
      <c r="CW34" s="5">
        <f t="shared" si="124"/>
        <v>1.0000017099919989</v>
      </c>
      <c r="CX34" s="21">
        <f t="shared" si="91"/>
        <v>2.3651240443362767</v>
      </c>
      <c r="CY34" s="5">
        <v>10</v>
      </c>
      <c r="CZ34" s="3">
        <v>0</v>
      </c>
      <c r="DB34" s="5">
        <v>18</v>
      </c>
      <c r="DC34" s="41">
        <v>2.3661500000000002</v>
      </c>
      <c r="DD34" s="5">
        <f t="shared" si="125"/>
        <v>1.0000012059900787</v>
      </c>
      <c r="DE34" s="21">
        <f t="shared" si="92"/>
        <v>2.3661528535534249</v>
      </c>
      <c r="DF34" s="5">
        <v>10</v>
      </c>
      <c r="DG34" s="3">
        <v>0</v>
      </c>
      <c r="DI34" s="5">
        <v>18</v>
      </c>
      <c r="DJ34" s="41">
        <v>2.36632</v>
      </c>
      <c r="DK34" s="5">
        <f t="shared" si="126"/>
        <v>1.0000036839995199</v>
      </c>
      <c r="DL34" s="21">
        <f t="shared" si="93"/>
        <v>2.366328717521744</v>
      </c>
      <c r="DM34" s="5">
        <v>10</v>
      </c>
      <c r="DN34" s="3">
        <v>1.0000000000000001E-5</v>
      </c>
      <c r="DP34" s="5">
        <v>18</v>
      </c>
      <c r="DQ34" s="41">
        <v>2.3653900000000001</v>
      </c>
      <c r="DR34" s="5">
        <f t="shared" si="127"/>
        <v>1.0000032219977597</v>
      </c>
      <c r="DS34" s="21">
        <f t="shared" si="94"/>
        <v>2.3653976212812808</v>
      </c>
      <c r="DT34" s="5">
        <v>10</v>
      </c>
      <c r="DU34" s="3">
        <v>2.0000000000000002E-5</v>
      </c>
      <c r="DW34" s="5">
        <v>18</v>
      </c>
      <c r="DX34" s="41">
        <v>2.36659</v>
      </c>
      <c r="DY34" s="5">
        <f t="shared" si="128"/>
        <v>1.0000051960052807</v>
      </c>
      <c r="DZ34" s="21">
        <f t="shared" si="95"/>
        <v>2.3666022968141371</v>
      </c>
      <c r="EA34" s="5">
        <v>10</v>
      </c>
      <c r="EB34" s="3">
        <v>1.0000000000000001E-5</v>
      </c>
      <c r="ED34" s="5">
        <v>18</v>
      </c>
      <c r="EE34" s="41">
        <v>2.3670300000000002</v>
      </c>
      <c r="EF34" s="5">
        <f t="shared" si="129"/>
        <v>1.0000114120289636</v>
      </c>
      <c r="EG34" s="21">
        <f t="shared" si="96"/>
        <v>2.367057012614918</v>
      </c>
      <c r="EH34" s="5">
        <v>10</v>
      </c>
      <c r="EI34" s="3">
        <v>1.0000000000000001E-5</v>
      </c>
      <c r="EK34" s="5">
        <v>18</v>
      </c>
      <c r="EL34" s="41">
        <v>2.36517</v>
      </c>
      <c r="EM34" s="34">
        <f t="shared" si="130"/>
        <v>1.0000063720097612</v>
      </c>
      <c r="EN34" s="21">
        <f t="shared" si="97"/>
        <v>2.3651850708863269</v>
      </c>
      <c r="EO34" s="5">
        <v>10</v>
      </c>
      <c r="EP34" s="3">
        <v>1.0000000000000001E-5</v>
      </c>
      <c r="ER34" s="5">
        <v>18</v>
      </c>
      <c r="ES34" s="41">
        <v>2.3664100000000001</v>
      </c>
      <c r="ET34" s="34">
        <f t="shared" si="131"/>
        <v>1.0000127560340841</v>
      </c>
      <c r="EU34" s="21">
        <f t="shared" si="98"/>
        <v>2.3664401860066171</v>
      </c>
      <c r="EV34" s="5">
        <v>10</v>
      </c>
      <c r="EW34" s="3">
        <v>1.0000000000000001E-5</v>
      </c>
      <c r="EY34" s="5">
        <v>18</v>
      </c>
      <c r="EZ34" s="41">
        <v>2.3662899999999998</v>
      </c>
      <c r="FA34" s="34">
        <f t="shared" si="132"/>
        <v>1.0000031589975196</v>
      </c>
      <c r="FB34" s="21">
        <f t="shared" si="99"/>
        <v>2.3662974751042403</v>
      </c>
      <c r="FC34" s="5">
        <v>10</v>
      </c>
      <c r="FD34" s="3">
        <v>1.0000000000000001E-5</v>
      </c>
      <c r="FF34" s="5">
        <v>18</v>
      </c>
      <c r="FG34" s="41">
        <v>2.3660600000000001</v>
      </c>
      <c r="FH34" s="34">
        <f t="shared" si="133"/>
        <v>1.0000045660028802</v>
      </c>
      <c r="FI34" s="21">
        <f t="shared" si="100"/>
        <v>2.366070803436775</v>
      </c>
      <c r="FJ34" s="5">
        <v>10</v>
      </c>
      <c r="FK34" s="3">
        <v>1.0000000000000001E-5</v>
      </c>
      <c r="FM34" s="5">
        <v>18</v>
      </c>
      <c r="FN34" s="41">
        <v>2.3650500000000001</v>
      </c>
      <c r="FO34" s="34">
        <f t="shared" si="134"/>
        <v>1.0000011219897587</v>
      </c>
      <c r="FP34" s="21">
        <f t="shared" si="101"/>
        <v>2.3650526535618788</v>
      </c>
      <c r="FQ34" s="5">
        <v>10</v>
      </c>
      <c r="FR34" s="3">
        <v>0</v>
      </c>
      <c r="FT34" s="5">
        <v>18</v>
      </c>
      <c r="FU34" s="41">
        <v>2.3663699999999999</v>
      </c>
      <c r="FV34" s="34">
        <f t="shared" si="135"/>
        <v>0.99999952598367792</v>
      </c>
      <c r="FW34" s="21">
        <f t="shared" si="102"/>
        <v>2.3663688783019956</v>
      </c>
      <c r="FX34" s="5">
        <v>10</v>
      </c>
      <c r="FY34" s="3">
        <v>1.0000000000000001E-5</v>
      </c>
      <c r="GA34" s="5">
        <v>18</v>
      </c>
      <c r="GB34" s="41">
        <v>2.3666700000000001</v>
      </c>
      <c r="GC34" s="34">
        <f t="shared" si="136"/>
        <v>1.0000018359924789</v>
      </c>
      <c r="GD34" s="21">
        <f t="shared" si="103"/>
        <v>2.3666743451883203</v>
      </c>
      <c r="GE34" s="5">
        <v>10</v>
      </c>
      <c r="GF34" s="3">
        <v>0</v>
      </c>
      <c r="GH34" s="5">
        <v>18</v>
      </c>
      <c r="GI34" s="41">
        <v>2.3661699999999999</v>
      </c>
      <c r="GJ34" s="34">
        <f t="shared" si="137"/>
        <v>1.0000019199927992</v>
      </c>
      <c r="GK34" s="21">
        <f t="shared" si="104"/>
        <v>2.3661745430293615</v>
      </c>
      <c r="GL34" s="5">
        <v>10</v>
      </c>
      <c r="GM34" s="3">
        <v>1.0000000000000001E-5</v>
      </c>
      <c r="GO34" s="5">
        <v>18</v>
      </c>
      <c r="GP34" s="41">
        <v>2.3656000000000001</v>
      </c>
      <c r="GQ34" s="34">
        <f t="shared" si="138"/>
        <v>1.0000009329890385</v>
      </c>
      <c r="GR34" s="21">
        <f t="shared" si="105"/>
        <v>2.3656022070788696</v>
      </c>
      <c r="GS34" s="5">
        <v>10</v>
      </c>
      <c r="GT34" s="3">
        <v>0</v>
      </c>
      <c r="GV34" s="5">
        <v>18</v>
      </c>
      <c r="GW34" s="41">
        <v>2.3665799999999999</v>
      </c>
      <c r="GX34" s="34">
        <f t="shared" si="139"/>
        <v>1.00000420900152</v>
      </c>
      <c r="GY34" s="21">
        <f t="shared" si="106"/>
        <v>2.3665899609388172</v>
      </c>
      <c r="GZ34" s="5">
        <v>10</v>
      </c>
      <c r="HA34" s="3">
        <v>1.0000000000000001E-5</v>
      </c>
      <c r="HC34" s="5">
        <v>18</v>
      </c>
      <c r="HD34" s="41">
        <v>2.3653200000000001</v>
      </c>
      <c r="HE34" s="34">
        <f t="shared" si="140"/>
        <v>1.0000110130274433</v>
      </c>
      <c r="HF34" s="21">
        <f t="shared" si="107"/>
        <v>2.3653460493340726</v>
      </c>
      <c r="HG34" s="5">
        <v>10</v>
      </c>
      <c r="HH34" s="3">
        <v>1.0000000000000001E-5</v>
      </c>
      <c r="HJ34" s="5">
        <v>18</v>
      </c>
      <c r="HK34" s="41">
        <v>2.3653599999999999</v>
      </c>
      <c r="HL34" s="34">
        <f t="shared" si="141"/>
        <v>1.0000017099919989</v>
      </c>
      <c r="HM34" s="21">
        <f t="shared" si="108"/>
        <v>2.3653640447466744</v>
      </c>
      <c r="HN34" s="5">
        <v>10</v>
      </c>
      <c r="HO34" s="3">
        <v>2.0000000000000002E-5</v>
      </c>
      <c r="HQ34" s="5">
        <v>18</v>
      </c>
      <c r="HR34" s="41">
        <v>2.3663799999999999</v>
      </c>
      <c r="HS34" s="34">
        <f t="shared" si="142"/>
        <v>1.0000083460172822</v>
      </c>
      <c r="HT34" s="21">
        <f t="shared" si="109"/>
        <v>2.3663997498483762</v>
      </c>
      <c r="HU34" s="5">
        <v>10</v>
      </c>
      <c r="HV34" s="3">
        <v>1.0000000000000001E-5</v>
      </c>
    </row>
    <row r="35" spans="1:230" ht="15.75" x14ac:dyDescent="0.25">
      <c r="A35" s="5">
        <v>19</v>
      </c>
      <c r="B35" s="5">
        <v>2.5247199999999999</v>
      </c>
      <c r="C35" s="5">
        <f t="shared" si="77"/>
        <v>1.0000061620089611</v>
      </c>
      <c r="D35" s="21">
        <f t="shared" si="0"/>
        <v>2.5247355573472641</v>
      </c>
      <c r="E35" s="5">
        <v>10</v>
      </c>
      <c r="F35" s="5">
        <v>2.0000000000000002E-5</v>
      </c>
      <c r="H35" s="5">
        <v>19</v>
      </c>
      <c r="I35" s="5">
        <v>2.5238800000000001</v>
      </c>
      <c r="J35" s="5">
        <f t="shared" si="110"/>
        <v>1.0000070020121616</v>
      </c>
      <c r="K35" s="21">
        <f t="shared" si="143"/>
        <v>2.5238976722384545</v>
      </c>
      <c r="L35" s="5">
        <v>10</v>
      </c>
      <c r="M35" s="5">
        <v>2.0000000000000002E-5</v>
      </c>
      <c r="O35" s="5">
        <v>19</v>
      </c>
      <c r="P35" s="5">
        <v>2.5228700000000002</v>
      </c>
      <c r="Q35" s="5">
        <f t="shared" si="111"/>
        <v>1.0000085980182423</v>
      </c>
      <c r="R35" s="21">
        <f t="shared" ref="R35:R37" si="151">P35*Q35</f>
        <v>2.522891691682283</v>
      </c>
      <c r="S35" s="5">
        <v>10</v>
      </c>
      <c r="T35" s="5"/>
      <c r="V35" s="5">
        <v>19</v>
      </c>
      <c r="W35" s="5">
        <v>2.5136500000000002</v>
      </c>
      <c r="X35" s="5">
        <f t="shared" si="112"/>
        <v>1.0000085980182423</v>
      </c>
      <c r="Y35" s="21">
        <f t="shared" ref="Y35:Y37" si="152">W35*X35</f>
        <v>2.513671612408555</v>
      </c>
      <c r="Z35" s="5">
        <v>10</v>
      </c>
      <c r="AA35" s="5">
        <v>1.0000000000000001E-5</v>
      </c>
      <c r="AC35" s="5">
        <v>19</v>
      </c>
      <c r="AD35" s="5">
        <v>2.5222799999999999</v>
      </c>
      <c r="AE35" s="5">
        <f t="shared" si="113"/>
        <v>1.0000062460092811</v>
      </c>
      <c r="AF35" s="21">
        <f t="shared" ref="AF35:AF37" si="153">AD35*AE35</f>
        <v>2.5222957541842894</v>
      </c>
      <c r="AG35" s="5">
        <v>10</v>
      </c>
      <c r="AH35" s="5"/>
      <c r="AJ35" s="5">
        <v>19</v>
      </c>
      <c r="AK35" s="5">
        <v>2.5226099999999998</v>
      </c>
      <c r="AL35" s="5">
        <f t="shared" si="114"/>
        <v>1.0000126300336041</v>
      </c>
      <c r="AM35" s="21">
        <f t="shared" ref="AM35:AM37" si="154">AK35*AL35</f>
        <v>2.5226418606490699</v>
      </c>
      <c r="AN35" s="5">
        <v>10</v>
      </c>
      <c r="AO35" s="5"/>
      <c r="AQ35" s="5">
        <v>19</v>
      </c>
      <c r="AR35" s="9">
        <v>2.52399</v>
      </c>
      <c r="AS35" s="5">
        <f t="shared" si="115"/>
        <v>1.0000023819945592</v>
      </c>
      <c r="AT35" s="21">
        <f t="shared" ref="AT35:AT37" si="155">AR35*AS35</f>
        <v>2.5239960121304472</v>
      </c>
      <c r="AU35" s="5">
        <v>10</v>
      </c>
      <c r="AV35" s="5">
        <v>0</v>
      </c>
      <c r="AX35" s="5">
        <v>19</v>
      </c>
      <c r="AY35" s="9">
        <v>2.5231499999999998</v>
      </c>
      <c r="AZ35" s="5">
        <f t="shared" si="116"/>
        <v>1.0000013739907188</v>
      </c>
      <c r="BA35" s="21">
        <f t="shared" ref="BA35:BA37" si="156">AY35*AZ35</f>
        <v>2.5231534667846818</v>
      </c>
      <c r="BB35" s="5">
        <v>10</v>
      </c>
      <c r="BC35" s="5">
        <v>1.0000000000000001E-5</v>
      </c>
      <c r="BE35" s="5">
        <v>19</v>
      </c>
      <c r="BF35" s="9">
        <v>2.5250599999999999</v>
      </c>
      <c r="BG35" s="5">
        <f t="shared" si="117"/>
        <v>1.0000065820105613</v>
      </c>
      <c r="BH35" s="21">
        <f t="shared" ref="BH35:BH37" si="157">BF35*BG35</f>
        <v>2.5250766199715877</v>
      </c>
      <c r="BI35" s="5">
        <v>10</v>
      </c>
      <c r="BJ35" s="5">
        <v>2.0000000000000002E-5</v>
      </c>
      <c r="BL35" s="5">
        <v>19</v>
      </c>
      <c r="BM35" s="3">
        <v>2.5223</v>
      </c>
      <c r="BN35" s="5">
        <f t="shared" si="118"/>
        <v>1.0000029699967996</v>
      </c>
      <c r="BO35" s="21">
        <f t="shared" si="119"/>
        <v>2.5223074912229277</v>
      </c>
      <c r="BP35" s="5">
        <v>10</v>
      </c>
      <c r="BQ35" s="3">
        <v>1.0000000000000001E-5</v>
      </c>
      <c r="BS35" s="5">
        <v>19</v>
      </c>
      <c r="BT35" s="3">
        <v>2.5227200000000001</v>
      </c>
      <c r="BU35" s="5">
        <f t="shared" si="120"/>
        <v>1.0000121680318441</v>
      </c>
      <c r="BV35" s="21">
        <f t="shared" si="87"/>
        <v>2.5227506965372939</v>
      </c>
      <c r="BW35" s="5">
        <v>10</v>
      </c>
      <c r="BX35" s="3">
        <v>1.0000000000000001E-5</v>
      </c>
      <c r="BZ35" s="5">
        <v>19</v>
      </c>
      <c r="CA35" s="41">
        <v>2.5218600000000002</v>
      </c>
      <c r="CB35" s="5">
        <f t="shared" si="121"/>
        <v>1.0000072540131217</v>
      </c>
      <c r="CC35" s="21">
        <f t="shared" si="88"/>
        <v>2.5218782936055315</v>
      </c>
      <c r="CD35" s="5">
        <v>10</v>
      </c>
      <c r="CE35" s="3">
        <v>1.0000000000000001E-5</v>
      </c>
      <c r="CG35" s="5">
        <v>19</v>
      </c>
      <c r="CH35" s="41">
        <v>2.5219299999999998</v>
      </c>
      <c r="CI35" s="5">
        <f t="shared" si="122"/>
        <v>1.0000114540291236</v>
      </c>
      <c r="CJ35" s="21">
        <f t="shared" si="89"/>
        <v>2.5219588862596676</v>
      </c>
      <c r="CK35" s="5">
        <v>10</v>
      </c>
      <c r="CL35" s="3">
        <v>1.0000000000000001E-5</v>
      </c>
      <c r="CN35" s="5">
        <v>19</v>
      </c>
      <c r="CO35" s="41">
        <v>2.5215200000000002</v>
      </c>
      <c r="CP35" s="5">
        <f t="shared" si="123"/>
        <v>1.0000017099919989</v>
      </c>
      <c r="CQ35" s="21">
        <f t="shared" si="90"/>
        <v>2.5215243117790251</v>
      </c>
      <c r="CR35" s="5">
        <v>10</v>
      </c>
      <c r="CS35" s="3">
        <v>1.0000000000000001E-5</v>
      </c>
      <c r="CU35" s="5">
        <v>19</v>
      </c>
      <c r="CV35" s="41">
        <v>2.52224</v>
      </c>
      <c r="CW35" s="5">
        <f t="shared" si="124"/>
        <v>1.0000017099919989</v>
      </c>
      <c r="CX35" s="21">
        <f t="shared" si="91"/>
        <v>2.5222443130102192</v>
      </c>
      <c r="CY35" s="5">
        <v>10</v>
      </c>
      <c r="CZ35" s="3">
        <v>1.0000000000000001E-5</v>
      </c>
      <c r="DB35" s="5">
        <v>19</v>
      </c>
      <c r="DC35" s="41">
        <v>2.52325</v>
      </c>
      <c r="DD35" s="5">
        <f t="shared" si="125"/>
        <v>1.0000012059900787</v>
      </c>
      <c r="DE35" s="21">
        <f t="shared" si="92"/>
        <v>2.5232530430144662</v>
      </c>
      <c r="DF35" s="5">
        <v>10</v>
      </c>
      <c r="DG35" s="3">
        <v>0</v>
      </c>
      <c r="DI35" s="5">
        <v>19</v>
      </c>
      <c r="DJ35" s="41">
        <v>2.5234000000000001</v>
      </c>
      <c r="DK35" s="5">
        <f t="shared" si="126"/>
        <v>1.0000036839995199</v>
      </c>
      <c r="DL35" s="21">
        <f t="shared" si="93"/>
        <v>2.5234092962043886</v>
      </c>
      <c r="DM35" s="5">
        <v>10</v>
      </c>
      <c r="DN35" s="3">
        <v>1.0000000000000001E-5</v>
      </c>
      <c r="DP35" s="5">
        <v>19</v>
      </c>
      <c r="DQ35" s="41">
        <v>2.5225900000000001</v>
      </c>
      <c r="DR35" s="5">
        <f t="shared" si="127"/>
        <v>1.0000032219977597</v>
      </c>
      <c r="DS35" s="21">
        <f t="shared" si="94"/>
        <v>2.5225981277793288</v>
      </c>
      <c r="DT35" s="5">
        <v>10</v>
      </c>
      <c r="DU35" s="3">
        <v>2.0000000000000002E-5</v>
      </c>
      <c r="DW35" s="5">
        <v>19</v>
      </c>
      <c r="DX35" s="41">
        <v>2.5237699999999998</v>
      </c>
      <c r="DY35" s="5">
        <f t="shared" si="128"/>
        <v>1.0000051960052807</v>
      </c>
      <c r="DZ35" s="21">
        <f t="shared" si="95"/>
        <v>2.523783113522247</v>
      </c>
      <c r="EA35" s="5">
        <v>10</v>
      </c>
      <c r="EB35" s="3">
        <v>3.0000000000000001E-5</v>
      </c>
      <c r="ED35" s="5">
        <v>19</v>
      </c>
      <c r="EE35" s="41">
        <v>2.5241899999999999</v>
      </c>
      <c r="EF35" s="5">
        <f t="shared" si="129"/>
        <v>1.0000114120289636</v>
      </c>
      <c r="EG35" s="21">
        <f t="shared" si="96"/>
        <v>2.5242188061293898</v>
      </c>
      <c r="EH35" s="5">
        <v>10</v>
      </c>
      <c r="EI35" s="3">
        <v>1.0000000000000001E-5</v>
      </c>
      <c r="EK35" s="5">
        <v>19</v>
      </c>
      <c r="EL35" s="41">
        <v>2.52237</v>
      </c>
      <c r="EM35" s="34">
        <f t="shared" si="130"/>
        <v>1.0000063720097612</v>
      </c>
      <c r="EN35" s="21">
        <f t="shared" si="97"/>
        <v>2.5223860725662615</v>
      </c>
      <c r="EO35" s="5">
        <v>10</v>
      </c>
      <c r="EP35" s="3">
        <v>1.0000000000000001E-5</v>
      </c>
      <c r="ER35" s="5">
        <v>19</v>
      </c>
      <c r="ES35" s="41">
        <v>2.5235500000000002</v>
      </c>
      <c r="ET35" s="34">
        <f t="shared" si="131"/>
        <v>1.0000127560340841</v>
      </c>
      <c r="EU35" s="21">
        <f t="shared" si="98"/>
        <v>2.523582190489813</v>
      </c>
      <c r="EV35" s="5">
        <v>10</v>
      </c>
      <c r="EW35" s="3">
        <v>0</v>
      </c>
      <c r="EY35" s="5">
        <v>19</v>
      </c>
      <c r="EZ35" s="41">
        <v>2.5233699999999999</v>
      </c>
      <c r="FA35" s="34">
        <f t="shared" si="132"/>
        <v>1.0000031589975196</v>
      </c>
      <c r="FB35" s="21">
        <f t="shared" si="99"/>
        <v>2.523377971319571</v>
      </c>
      <c r="FC35" s="5">
        <v>10</v>
      </c>
      <c r="FD35" s="3">
        <v>0</v>
      </c>
      <c r="FF35" s="5">
        <v>19</v>
      </c>
      <c r="FG35" s="41">
        <v>2.52318</v>
      </c>
      <c r="FH35" s="34">
        <f t="shared" si="133"/>
        <v>1.0000045660028802</v>
      </c>
      <c r="FI35" s="21">
        <f t="shared" si="100"/>
        <v>2.5231915208471474</v>
      </c>
      <c r="FJ35" s="5">
        <v>10</v>
      </c>
      <c r="FK35" s="3">
        <v>1.0000000000000001E-5</v>
      </c>
      <c r="FM35" s="5">
        <v>19</v>
      </c>
      <c r="FN35" s="41">
        <v>2.5221800000000001</v>
      </c>
      <c r="FO35" s="34">
        <f t="shared" si="134"/>
        <v>1.0000011219897587</v>
      </c>
      <c r="FP35" s="21">
        <f t="shared" si="101"/>
        <v>2.5221828298601294</v>
      </c>
      <c r="FQ35" s="5">
        <v>10</v>
      </c>
      <c r="FR35" s="3">
        <v>1.0000000000000001E-5</v>
      </c>
      <c r="FT35" s="5">
        <v>19</v>
      </c>
      <c r="FU35" s="41">
        <v>2.52345</v>
      </c>
      <c r="FV35" s="34">
        <f t="shared" si="135"/>
        <v>0.99999952598367792</v>
      </c>
      <c r="FW35" s="21">
        <f t="shared" si="102"/>
        <v>2.5234488038435119</v>
      </c>
      <c r="FX35" s="5">
        <v>10</v>
      </c>
      <c r="FY35" s="3">
        <v>0</v>
      </c>
      <c r="GA35" s="5">
        <v>19</v>
      </c>
      <c r="GB35" s="41">
        <v>2.5237599999999998</v>
      </c>
      <c r="GC35" s="34">
        <f t="shared" si="136"/>
        <v>1.0000018359924789</v>
      </c>
      <c r="GD35" s="21">
        <f t="shared" si="103"/>
        <v>2.5237646336043786</v>
      </c>
      <c r="GE35" s="5">
        <v>10</v>
      </c>
      <c r="GF35" s="3">
        <v>0</v>
      </c>
      <c r="GH35" s="5">
        <v>19</v>
      </c>
      <c r="GI35" s="41">
        <v>2.5232299999999999</v>
      </c>
      <c r="GJ35" s="34">
        <f t="shared" si="137"/>
        <v>1.0000019199927992</v>
      </c>
      <c r="GK35" s="21">
        <f t="shared" si="104"/>
        <v>2.5232348445834307</v>
      </c>
      <c r="GL35" s="5">
        <v>10</v>
      </c>
      <c r="GM35" s="3">
        <v>1.0000000000000001E-5</v>
      </c>
      <c r="GO35" s="5">
        <v>19</v>
      </c>
      <c r="GP35" s="41">
        <v>2.5227200000000001</v>
      </c>
      <c r="GQ35" s="34">
        <f t="shared" si="138"/>
        <v>1.0000009329890385</v>
      </c>
      <c r="GR35" s="21">
        <f t="shared" si="105"/>
        <v>2.5227223536701073</v>
      </c>
      <c r="GS35" s="5">
        <v>10</v>
      </c>
      <c r="GT35" s="3">
        <v>1.0000000000000001E-5</v>
      </c>
      <c r="GV35" s="5">
        <v>19</v>
      </c>
      <c r="GW35" s="41">
        <v>2.5236900000000002</v>
      </c>
      <c r="GX35" s="34">
        <f t="shared" si="139"/>
        <v>1.00000420900152</v>
      </c>
      <c r="GY35" s="21">
        <f t="shared" si="106"/>
        <v>2.523700622215046</v>
      </c>
      <c r="GZ35" s="5">
        <v>10</v>
      </c>
      <c r="HA35" s="3">
        <v>2.0000000000000002E-5</v>
      </c>
      <c r="HC35" s="5">
        <v>19</v>
      </c>
      <c r="HD35" s="41">
        <v>2.5224299999999999</v>
      </c>
      <c r="HE35" s="34">
        <f t="shared" si="140"/>
        <v>1.0000110130274433</v>
      </c>
      <c r="HF35" s="21">
        <f t="shared" si="107"/>
        <v>2.5224577795908139</v>
      </c>
      <c r="HG35" s="5">
        <v>10</v>
      </c>
      <c r="HH35" s="3">
        <v>1.0000000000000001E-5</v>
      </c>
      <c r="HJ35" s="5">
        <v>19</v>
      </c>
      <c r="HK35" s="41">
        <v>2.5224299999999999</v>
      </c>
      <c r="HL35" s="34">
        <f t="shared" si="141"/>
        <v>1.0000017099919989</v>
      </c>
      <c r="HM35" s="21">
        <f t="shared" si="108"/>
        <v>2.5224343133351179</v>
      </c>
      <c r="HN35" s="5">
        <v>10</v>
      </c>
      <c r="HO35" s="3">
        <v>2.0000000000000002E-5</v>
      </c>
      <c r="HQ35" s="5">
        <v>19</v>
      </c>
      <c r="HR35" s="41">
        <v>2.5235400000000001</v>
      </c>
      <c r="HS35" s="34">
        <f t="shared" si="142"/>
        <v>1.0000083460172822</v>
      </c>
      <c r="HT35" s="21">
        <f t="shared" si="109"/>
        <v>2.5235610615084525</v>
      </c>
      <c r="HU35" s="5">
        <v>10</v>
      </c>
      <c r="HV35" s="3">
        <v>0</v>
      </c>
    </row>
    <row r="36" spans="1:230" ht="15.75" x14ac:dyDescent="0.25">
      <c r="A36" s="5">
        <v>20</v>
      </c>
      <c r="B36" s="5">
        <v>2.67333</v>
      </c>
      <c r="C36" s="5">
        <f t="shared" si="77"/>
        <v>1.0000061620089611</v>
      </c>
      <c r="D36" s="21">
        <f t="shared" si="0"/>
        <v>2.673346473083416</v>
      </c>
      <c r="E36" s="5">
        <v>10</v>
      </c>
      <c r="F36" s="5">
        <v>1.0000000000000001E-5</v>
      </c>
      <c r="H36" s="5">
        <v>20</v>
      </c>
      <c r="I36" s="5">
        <v>2.6725599999999998</v>
      </c>
      <c r="J36" s="5">
        <f t="shared" si="110"/>
        <v>1.0000070020121616</v>
      </c>
      <c r="K36" s="21">
        <f t="shared" si="143"/>
        <v>2.6725787132976224</v>
      </c>
      <c r="L36" s="5">
        <v>10</v>
      </c>
      <c r="M36" s="5">
        <v>1.0000000000000001E-5</v>
      </c>
      <c r="O36" s="5">
        <v>20</v>
      </c>
      <c r="P36" s="5">
        <v>2.6715499999999999</v>
      </c>
      <c r="Q36" s="5">
        <f t="shared" si="111"/>
        <v>1.0000085980182423</v>
      </c>
      <c r="R36" s="21">
        <f t="shared" si="151"/>
        <v>2.6715729700356352</v>
      </c>
      <c r="S36" s="5">
        <v>10</v>
      </c>
      <c r="T36" s="5"/>
      <c r="V36" s="5">
        <v>20</v>
      </c>
      <c r="W36" s="5">
        <v>2.6623199999999998</v>
      </c>
      <c r="X36" s="5">
        <f t="shared" si="112"/>
        <v>1.0000085980182423</v>
      </c>
      <c r="Y36" s="21">
        <f t="shared" si="152"/>
        <v>2.6623428906759266</v>
      </c>
      <c r="Z36" s="5">
        <v>10</v>
      </c>
      <c r="AA36" s="5">
        <v>1.0000000000000001E-5</v>
      </c>
      <c r="AC36" s="5">
        <v>20</v>
      </c>
      <c r="AD36" s="5">
        <v>2.6710099999999999</v>
      </c>
      <c r="AE36" s="5">
        <f t="shared" si="113"/>
        <v>1.0000062460092811</v>
      </c>
      <c r="AF36" s="21">
        <f t="shared" si="153"/>
        <v>2.6710266831532499</v>
      </c>
      <c r="AG36" s="5">
        <v>10</v>
      </c>
      <c r="AH36" s="5"/>
      <c r="AJ36" s="5">
        <v>20</v>
      </c>
      <c r="AK36" s="5">
        <v>2.6711900000000002</v>
      </c>
      <c r="AL36" s="5">
        <f t="shared" si="114"/>
        <v>1.0000126300336041</v>
      </c>
      <c r="AM36" s="21">
        <f t="shared" si="154"/>
        <v>2.6712237372194632</v>
      </c>
      <c r="AN36" s="5">
        <v>10</v>
      </c>
      <c r="AO36" s="5"/>
      <c r="AQ36" s="5">
        <v>20</v>
      </c>
      <c r="AR36" s="9">
        <v>2.6726000000000001</v>
      </c>
      <c r="AS36" s="5">
        <f t="shared" si="115"/>
        <v>1.0000023819945592</v>
      </c>
      <c r="AT36" s="21">
        <f t="shared" si="155"/>
        <v>2.672606366118659</v>
      </c>
      <c r="AU36" s="5">
        <v>10</v>
      </c>
      <c r="AV36" s="5">
        <v>1.0000000000000001E-5</v>
      </c>
      <c r="AX36" s="5">
        <v>20</v>
      </c>
      <c r="AY36" s="9">
        <v>2.67177</v>
      </c>
      <c r="AZ36" s="5">
        <f t="shared" si="116"/>
        <v>1.0000013739907188</v>
      </c>
      <c r="BA36" s="21">
        <f t="shared" si="156"/>
        <v>2.6717736709871827</v>
      </c>
      <c r="BB36" s="5">
        <v>10</v>
      </c>
      <c r="BC36" s="5">
        <v>2.0000000000000002E-5</v>
      </c>
      <c r="BE36" s="5">
        <v>20</v>
      </c>
      <c r="BF36" s="9">
        <v>2.6737299999999999</v>
      </c>
      <c r="BG36" s="5">
        <f t="shared" si="117"/>
        <v>1.0000065820105613</v>
      </c>
      <c r="BH36" s="21">
        <f t="shared" si="157"/>
        <v>2.6737475985190979</v>
      </c>
      <c r="BI36" s="5">
        <v>10</v>
      </c>
      <c r="BJ36" s="5">
        <v>1.0000000000000001E-5</v>
      </c>
      <c r="BL36" s="5">
        <v>20</v>
      </c>
      <c r="BM36" s="3">
        <v>2.6709800000000001</v>
      </c>
      <c r="BN36" s="5">
        <f t="shared" si="118"/>
        <v>1.0000029699967996</v>
      </c>
      <c r="BO36" s="21">
        <f t="shared" si="119"/>
        <v>2.6709879328020518</v>
      </c>
      <c r="BP36" s="5">
        <v>10</v>
      </c>
      <c r="BQ36" s="3">
        <v>2.0000000000000002E-5</v>
      </c>
      <c r="BS36" s="5">
        <v>20</v>
      </c>
      <c r="BT36" s="3">
        <v>2.6714500000000001</v>
      </c>
      <c r="BU36" s="5">
        <f t="shared" si="120"/>
        <v>1.0000121680318441</v>
      </c>
      <c r="BV36" s="21">
        <f t="shared" si="87"/>
        <v>2.6714825062886702</v>
      </c>
      <c r="BW36" s="5">
        <v>10</v>
      </c>
      <c r="BX36" s="3">
        <v>1.0000000000000001E-5</v>
      </c>
      <c r="BZ36" s="5">
        <v>20</v>
      </c>
      <c r="CA36" s="41">
        <v>2.6706099999999999</v>
      </c>
      <c r="CB36" s="5">
        <f t="shared" si="121"/>
        <v>1.0000072540131217</v>
      </c>
      <c r="CC36" s="21">
        <f t="shared" si="88"/>
        <v>2.6706293726399828</v>
      </c>
      <c r="CD36" s="5">
        <v>10</v>
      </c>
      <c r="CE36" s="3">
        <v>1.0000000000000001E-5</v>
      </c>
      <c r="CG36" s="5">
        <v>20</v>
      </c>
      <c r="CH36" s="41">
        <v>2.6705899999999998</v>
      </c>
      <c r="CI36" s="5">
        <f t="shared" si="122"/>
        <v>1.0000114540291236</v>
      </c>
      <c r="CJ36" s="21">
        <f t="shared" si="89"/>
        <v>2.6706205890156371</v>
      </c>
      <c r="CK36" s="5">
        <v>10</v>
      </c>
      <c r="CL36" s="3">
        <v>1.0000000000000001E-5</v>
      </c>
      <c r="CN36" s="5">
        <v>20</v>
      </c>
      <c r="CO36" s="41">
        <v>2.6701700000000002</v>
      </c>
      <c r="CP36" s="5">
        <f t="shared" si="123"/>
        <v>1.0000017099919989</v>
      </c>
      <c r="CQ36" s="21">
        <f t="shared" si="90"/>
        <v>2.6701745659693357</v>
      </c>
      <c r="CR36" s="5">
        <v>10</v>
      </c>
      <c r="CS36" s="3">
        <v>1.0000000000000001E-5</v>
      </c>
      <c r="CU36" s="5">
        <v>20</v>
      </c>
      <c r="CV36" s="41">
        <v>2.6707700000000001</v>
      </c>
      <c r="CW36" s="5">
        <f t="shared" si="124"/>
        <v>1.0000017099919989</v>
      </c>
      <c r="CX36" s="21">
        <f t="shared" si="91"/>
        <v>2.6707745669953309</v>
      </c>
      <c r="CY36" s="5">
        <v>10</v>
      </c>
      <c r="CZ36" s="3">
        <v>1.0000000000000001E-5</v>
      </c>
      <c r="DB36" s="5">
        <v>20</v>
      </c>
      <c r="DC36" s="41">
        <v>2.6718299999999999</v>
      </c>
      <c r="DD36" s="5">
        <f t="shared" si="125"/>
        <v>1.0000012059900787</v>
      </c>
      <c r="DE36" s="21">
        <f t="shared" si="92"/>
        <v>2.6718332222004717</v>
      </c>
      <c r="DF36" s="5">
        <v>10</v>
      </c>
      <c r="DG36" s="3">
        <v>0</v>
      </c>
      <c r="DI36" s="5">
        <v>20</v>
      </c>
      <c r="DJ36" s="41">
        <v>2.67211</v>
      </c>
      <c r="DK36" s="5">
        <f t="shared" si="126"/>
        <v>1.0000036839995199</v>
      </c>
      <c r="DL36" s="21">
        <f t="shared" si="93"/>
        <v>2.6721198440519571</v>
      </c>
      <c r="DM36" s="5">
        <v>10</v>
      </c>
      <c r="DN36" s="3">
        <v>2.0000000000000002E-5</v>
      </c>
      <c r="DP36" s="5">
        <v>20</v>
      </c>
      <c r="DQ36" s="41">
        <v>2.67123</v>
      </c>
      <c r="DR36" s="5">
        <f t="shared" si="127"/>
        <v>1.0000032219977597</v>
      </c>
      <c r="DS36" s="21">
        <f t="shared" si="94"/>
        <v>2.6712386066970755</v>
      </c>
      <c r="DT36" s="5">
        <v>10</v>
      </c>
      <c r="DU36" s="3">
        <v>1.0000000000000001E-5</v>
      </c>
      <c r="DW36" s="5">
        <v>20</v>
      </c>
      <c r="DX36" s="41">
        <v>2.6723699999999999</v>
      </c>
      <c r="DY36" s="5">
        <f t="shared" si="128"/>
        <v>1.0000051960052807</v>
      </c>
      <c r="DZ36" s="21">
        <f t="shared" si="95"/>
        <v>2.6723838856486317</v>
      </c>
      <c r="EA36" s="5">
        <v>10</v>
      </c>
      <c r="EB36" s="3">
        <v>2.0000000000000002E-5</v>
      </c>
      <c r="ED36" s="5">
        <v>20</v>
      </c>
      <c r="EE36" s="41">
        <v>2.6728900000000002</v>
      </c>
      <c r="EF36" s="5">
        <f t="shared" si="129"/>
        <v>1.0000114120289636</v>
      </c>
      <c r="EG36" s="21">
        <f t="shared" si="96"/>
        <v>2.6729205030980969</v>
      </c>
      <c r="EH36" s="5">
        <v>10</v>
      </c>
      <c r="EI36" s="3">
        <v>1.0000000000000001E-5</v>
      </c>
      <c r="EK36" s="5">
        <v>20</v>
      </c>
      <c r="EL36" s="41">
        <v>2.6709999999999998</v>
      </c>
      <c r="EM36" s="34">
        <f t="shared" si="130"/>
        <v>1.0000063720097612</v>
      </c>
      <c r="EN36" s="21">
        <f t="shared" si="97"/>
        <v>2.671017019638072</v>
      </c>
      <c r="EO36" s="5">
        <v>10</v>
      </c>
      <c r="EP36" s="3">
        <v>0</v>
      </c>
      <c r="ER36" s="5">
        <v>20</v>
      </c>
      <c r="ES36" s="41">
        <v>2.6722100000000002</v>
      </c>
      <c r="ET36" s="34">
        <f t="shared" si="131"/>
        <v>1.0000127560340841</v>
      </c>
      <c r="EU36" s="21">
        <f t="shared" si="98"/>
        <v>2.67224408680184</v>
      </c>
      <c r="EV36" s="5">
        <v>10</v>
      </c>
      <c r="EW36" s="3">
        <v>0</v>
      </c>
      <c r="EY36" s="5">
        <v>20</v>
      </c>
      <c r="EZ36" s="41">
        <v>2.6720299999999999</v>
      </c>
      <c r="FA36" s="34">
        <f t="shared" si="132"/>
        <v>1.0000031589975196</v>
      </c>
      <c r="FB36" s="21">
        <f t="shared" si="99"/>
        <v>2.672038440936142</v>
      </c>
      <c r="FC36" s="5">
        <v>10</v>
      </c>
      <c r="FD36" s="3">
        <v>1.0000000000000001E-5</v>
      </c>
      <c r="FF36" s="5">
        <v>20</v>
      </c>
      <c r="FG36" s="41">
        <v>2.6718299999999999</v>
      </c>
      <c r="FH36" s="34">
        <f t="shared" si="133"/>
        <v>1.0000045660028802</v>
      </c>
      <c r="FI36" s="21">
        <f t="shared" si="100"/>
        <v>2.6718421995834754</v>
      </c>
      <c r="FJ36" s="5">
        <v>10</v>
      </c>
      <c r="FK36" s="3">
        <v>0</v>
      </c>
      <c r="FM36" s="5">
        <v>20</v>
      </c>
      <c r="FN36" s="41">
        <v>2.6708099999999999</v>
      </c>
      <c r="FO36" s="34">
        <f t="shared" si="134"/>
        <v>1.0000011219897587</v>
      </c>
      <c r="FP36" s="21">
        <f t="shared" si="101"/>
        <v>2.6708129966214673</v>
      </c>
      <c r="FQ36" s="5">
        <v>10</v>
      </c>
      <c r="FR36" s="3">
        <v>1.0000000000000001E-5</v>
      </c>
      <c r="FT36" s="5">
        <v>20</v>
      </c>
      <c r="FU36" s="41">
        <v>2.6720700000000002</v>
      </c>
      <c r="FV36" s="34">
        <f t="shared" si="135"/>
        <v>0.99999952598367792</v>
      </c>
      <c r="FW36" s="21">
        <f t="shared" si="102"/>
        <v>2.6720687333952062</v>
      </c>
      <c r="FX36" s="5">
        <v>10</v>
      </c>
      <c r="FY36" s="3">
        <v>1.0000000000000001E-5</v>
      </c>
      <c r="GA36" s="5">
        <v>20</v>
      </c>
      <c r="GB36" s="41">
        <v>2.67238</v>
      </c>
      <c r="GC36" s="34">
        <f t="shared" si="136"/>
        <v>1.0000018359924789</v>
      </c>
      <c r="GD36" s="21">
        <f t="shared" si="103"/>
        <v>2.6723849064695808</v>
      </c>
      <c r="GE36" s="5">
        <v>10</v>
      </c>
      <c r="GF36" s="3">
        <v>0</v>
      </c>
      <c r="GH36" s="5">
        <v>20</v>
      </c>
      <c r="GI36" s="41">
        <v>2.6718299999999999</v>
      </c>
      <c r="GJ36" s="34">
        <f t="shared" si="137"/>
        <v>1.0000019199927992</v>
      </c>
      <c r="GK36" s="21">
        <f t="shared" si="104"/>
        <v>2.6718351298943608</v>
      </c>
      <c r="GL36" s="5">
        <v>10</v>
      </c>
      <c r="GM36" s="3">
        <v>1.0000000000000001E-5</v>
      </c>
      <c r="GO36" s="5">
        <v>20</v>
      </c>
      <c r="GP36" s="41">
        <v>2.6713200000000001</v>
      </c>
      <c r="GQ36" s="34">
        <f t="shared" si="138"/>
        <v>1.0000009329890385</v>
      </c>
      <c r="GR36" s="21">
        <f t="shared" si="105"/>
        <v>2.6713224923122785</v>
      </c>
      <c r="GS36" s="5">
        <v>10</v>
      </c>
      <c r="GT36" s="3">
        <v>1.0000000000000001E-5</v>
      </c>
      <c r="GV36" s="5">
        <v>20</v>
      </c>
      <c r="GW36" s="41">
        <v>2.6723599999999998</v>
      </c>
      <c r="GX36" s="34">
        <f t="shared" si="139"/>
        <v>1.00000420900152</v>
      </c>
      <c r="GY36" s="21">
        <f t="shared" si="106"/>
        <v>2.6723712479673019</v>
      </c>
      <c r="GZ36" s="5">
        <v>10</v>
      </c>
      <c r="HA36" s="3">
        <v>1.0000000000000001E-5</v>
      </c>
      <c r="HC36" s="5">
        <v>20</v>
      </c>
      <c r="HD36" s="41">
        <v>2.6711999999999998</v>
      </c>
      <c r="HE36" s="34">
        <f t="shared" si="140"/>
        <v>1.0000110130274433</v>
      </c>
      <c r="HF36" s="21">
        <f t="shared" si="107"/>
        <v>2.6712294179989065</v>
      </c>
      <c r="HG36" s="5">
        <v>10</v>
      </c>
      <c r="HH36" s="3">
        <v>1.0000000000000001E-5</v>
      </c>
      <c r="HJ36" s="5">
        <v>20</v>
      </c>
      <c r="HK36" s="41">
        <v>2.6710199999999999</v>
      </c>
      <c r="HL36" s="34">
        <f t="shared" si="141"/>
        <v>1.0000017099919989</v>
      </c>
      <c r="HM36" s="21">
        <f t="shared" si="108"/>
        <v>2.6710245674228288</v>
      </c>
      <c r="HN36" s="5">
        <v>10</v>
      </c>
      <c r="HO36" s="3">
        <v>2.0000000000000002E-5</v>
      </c>
      <c r="HQ36" s="5">
        <v>20</v>
      </c>
      <c r="HR36" s="41">
        <v>2.6721400000000002</v>
      </c>
      <c r="HS36" s="34">
        <f t="shared" si="142"/>
        <v>1.0000083460172822</v>
      </c>
      <c r="HT36" s="21">
        <f t="shared" si="109"/>
        <v>2.6721623017266207</v>
      </c>
      <c r="HU36" s="5">
        <v>10</v>
      </c>
      <c r="HV36" s="3">
        <v>1.0000000000000001E-5</v>
      </c>
    </row>
    <row r="37" spans="1:230" ht="15.75" x14ac:dyDescent="0.25">
      <c r="A37" s="5">
        <v>21</v>
      </c>
      <c r="B37" s="5">
        <v>2.8830399999999998</v>
      </c>
      <c r="C37" s="5">
        <f t="shared" si="77"/>
        <v>1.0000061620089611</v>
      </c>
      <c r="D37" s="21">
        <f t="shared" si="0"/>
        <v>2.8830577653183149</v>
      </c>
      <c r="E37" s="5">
        <v>8</v>
      </c>
      <c r="F37" s="5">
        <v>2.0000000000000002E-5</v>
      </c>
      <c r="H37" s="5">
        <v>21</v>
      </c>
      <c r="I37" s="5">
        <v>2.88226</v>
      </c>
      <c r="J37" s="5">
        <f t="shared" si="110"/>
        <v>1.0000070020121616</v>
      </c>
      <c r="K37" s="21">
        <f t="shared" si="143"/>
        <v>2.8822801816195729</v>
      </c>
      <c r="L37" s="5">
        <v>10</v>
      </c>
      <c r="M37" s="5">
        <v>1.0000000000000001E-5</v>
      </c>
      <c r="O37" s="5">
        <v>21</v>
      </c>
      <c r="P37" s="5">
        <v>2.8812199999999999</v>
      </c>
      <c r="Q37" s="5">
        <f t="shared" si="111"/>
        <v>1.0000085980182423</v>
      </c>
      <c r="R37" s="21">
        <f t="shared" si="151"/>
        <v>2.8812447727821198</v>
      </c>
      <c r="S37" s="5">
        <v>10</v>
      </c>
      <c r="T37" s="5"/>
      <c r="V37" s="5">
        <v>21</v>
      </c>
      <c r="W37" s="5">
        <v>2.8719700000000001</v>
      </c>
      <c r="X37" s="5">
        <f t="shared" si="112"/>
        <v>1.0000085980182423</v>
      </c>
      <c r="Y37" s="21">
        <f t="shared" si="152"/>
        <v>2.8719946932504512</v>
      </c>
      <c r="Z37" s="5">
        <v>10</v>
      </c>
      <c r="AA37" s="5">
        <v>1.0000000000000001E-5</v>
      </c>
      <c r="AC37" s="5">
        <v>21</v>
      </c>
      <c r="AD37" s="5">
        <v>2.88069</v>
      </c>
      <c r="AE37" s="5">
        <f t="shared" si="113"/>
        <v>1.0000062460092811</v>
      </c>
      <c r="AF37" s="21">
        <f t="shared" si="153"/>
        <v>2.8807079928164758</v>
      </c>
      <c r="AG37" s="5">
        <v>10</v>
      </c>
      <c r="AH37" s="5"/>
      <c r="AJ37" s="5">
        <v>21</v>
      </c>
      <c r="AK37" s="5">
        <v>2.8809300000000002</v>
      </c>
      <c r="AL37" s="5">
        <f t="shared" si="114"/>
        <v>1.0000126300336041</v>
      </c>
      <c r="AM37" s="21">
        <f t="shared" si="154"/>
        <v>2.8809663862427111</v>
      </c>
      <c r="AN37" s="5">
        <v>10</v>
      </c>
      <c r="AO37" s="5"/>
      <c r="AQ37" s="5">
        <v>21</v>
      </c>
      <c r="AR37" s="9">
        <v>2.8822299999999998</v>
      </c>
      <c r="AS37" s="5">
        <f t="shared" si="115"/>
        <v>1.0000023819945592</v>
      </c>
      <c r="AT37" s="21">
        <f t="shared" si="155"/>
        <v>2.8822368654561781</v>
      </c>
      <c r="AU37" s="5">
        <v>10</v>
      </c>
      <c r="AV37" s="5">
        <v>0</v>
      </c>
      <c r="AX37" s="5">
        <v>21</v>
      </c>
      <c r="AY37" s="9">
        <v>2.88137</v>
      </c>
      <c r="AZ37" s="5">
        <f t="shared" si="116"/>
        <v>1.0000013739907188</v>
      </c>
      <c r="BA37" s="21">
        <f t="shared" si="156"/>
        <v>2.8813739589756371</v>
      </c>
      <c r="BB37" s="5">
        <v>10</v>
      </c>
      <c r="BC37" s="5">
        <v>1.0000000000000001E-5</v>
      </c>
      <c r="BE37" s="5">
        <v>21</v>
      </c>
      <c r="BF37" s="9">
        <v>2.88334</v>
      </c>
      <c r="BG37" s="5">
        <f t="shared" si="117"/>
        <v>1.0000065820105613</v>
      </c>
      <c r="BH37" s="21">
        <f t="shared" si="157"/>
        <v>2.8833589781743316</v>
      </c>
      <c r="BI37" s="5">
        <v>10</v>
      </c>
      <c r="BJ37" s="5">
        <v>1.0000000000000001E-5</v>
      </c>
      <c r="BL37" s="5">
        <v>21</v>
      </c>
      <c r="BM37" s="3">
        <v>2.8807399999999999</v>
      </c>
      <c r="BN37" s="5">
        <f t="shared" si="118"/>
        <v>1.0000029699967996</v>
      </c>
      <c r="BO37" s="21">
        <f t="shared" si="119"/>
        <v>2.8807485557885801</v>
      </c>
      <c r="BP37" s="5">
        <v>10</v>
      </c>
      <c r="BQ37" s="3">
        <v>2.0000000000000002E-5</v>
      </c>
      <c r="BS37" s="5">
        <v>21</v>
      </c>
      <c r="BT37" s="3">
        <v>2.8811399999999998</v>
      </c>
      <c r="BU37" s="5">
        <f t="shared" si="120"/>
        <v>1.0000121680318441</v>
      </c>
      <c r="BV37" s="21">
        <f t="shared" si="87"/>
        <v>2.8811750578032673</v>
      </c>
      <c r="BW37" s="5">
        <v>10</v>
      </c>
      <c r="BX37" s="3">
        <v>1.0000000000000001E-5</v>
      </c>
      <c r="BZ37" s="5">
        <v>21</v>
      </c>
      <c r="CA37" s="41">
        <v>2.8803999999999998</v>
      </c>
      <c r="CB37" s="5">
        <f t="shared" si="121"/>
        <v>1.0000072540131217</v>
      </c>
      <c r="CC37" s="21">
        <f t="shared" si="88"/>
        <v>2.8804208944593959</v>
      </c>
      <c r="CD37" s="5">
        <v>10</v>
      </c>
      <c r="CE37" s="3">
        <v>1.0000000000000001E-5</v>
      </c>
      <c r="CG37" s="5">
        <v>21</v>
      </c>
      <c r="CH37" s="41">
        <v>2.8803299999999998</v>
      </c>
      <c r="CI37" s="5">
        <f t="shared" si="122"/>
        <v>1.0000114540291236</v>
      </c>
      <c r="CJ37" s="21">
        <f t="shared" si="89"/>
        <v>2.8803629913837057</v>
      </c>
      <c r="CK37" s="5">
        <v>10</v>
      </c>
      <c r="CL37" s="3">
        <v>2.0000000000000002E-5</v>
      </c>
      <c r="CN37" s="5">
        <v>21</v>
      </c>
      <c r="CO37" s="41">
        <v>2.8797600000000001</v>
      </c>
      <c r="CP37" s="5">
        <f t="shared" si="123"/>
        <v>1.0000017099919989</v>
      </c>
      <c r="CQ37" s="21">
        <f t="shared" si="90"/>
        <v>2.8797649243665586</v>
      </c>
      <c r="CR37" s="5">
        <v>10</v>
      </c>
      <c r="CS37" s="3">
        <v>1.0000000000000001E-5</v>
      </c>
      <c r="CU37" s="5">
        <v>21</v>
      </c>
      <c r="CV37" s="41">
        <v>2.8803999999999998</v>
      </c>
      <c r="CW37" s="5">
        <f t="shared" si="124"/>
        <v>1.0000017099919989</v>
      </c>
      <c r="CX37" s="21">
        <f t="shared" si="91"/>
        <v>2.8804049254609536</v>
      </c>
      <c r="CY37" s="5">
        <v>10</v>
      </c>
      <c r="CZ37" s="3">
        <v>1.0000000000000001E-5</v>
      </c>
      <c r="DB37" s="5">
        <v>21</v>
      </c>
      <c r="DC37" s="41">
        <v>2.8814500000000001</v>
      </c>
      <c r="DD37" s="5">
        <f t="shared" si="125"/>
        <v>1.0000012059900787</v>
      </c>
      <c r="DE37" s="21">
        <f t="shared" si="92"/>
        <v>2.8814534750001122</v>
      </c>
      <c r="DF37" s="5">
        <v>10</v>
      </c>
      <c r="DG37" s="3">
        <v>0</v>
      </c>
      <c r="DI37" s="5">
        <v>21</v>
      </c>
      <c r="DJ37" s="41">
        <v>2.8817300000000001</v>
      </c>
      <c r="DK37" s="5">
        <f t="shared" si="126"/>
        <v>1.0000036839995199</v>
      </c>
      <c r="DL37" s="21">
        <f t="shared" si="93"/>
        <v>2.8817406162919368</v>
      </c>
      <c r="DM37" s="5">
        <v>10</v>
      </c>
      <c r="DN37" s="3">
        <v>1.0000000000000001E-5</v>
      </c>
      <c r="DP37" s="5">
        <v>21</v>
      </c>
      <c r="DQ37" s="41">
        <v>2.8808600000000002</v>
      </c>
      <c r="DR37" s="5">
        <f t="shared" si="127"/>
        <v>1.0000032219977597</v>
      </c>
      <c r="DS37" s="21">
        <f t="shared" si="94"/>
        <v>2.8808692821244661</v>
      </c>
      <c r="DT37" s="5">
        <v>10</v>
      </c>
      <c r="DU37" s="3">
        <v>2.0000000000000002E-5</v>
      </c>
      <c r="DW37" s="5">
        <v>21</v>
      </c>
      <c r="DX37" s="41">
        <v>2.8820999999999999</v>
      </c>
      <c r="DY37" s="5">
        <f t="shared" si="128"/>
        <v>1.0000051960052807</v>
      </c>
      <c r="DZ37" s="21">
        <f t="shared" si="95"/>
        <v>2.8821149754068194</v>
      </c>
      <c r="EA37" s="5">
        <v>10</v>
      </c>
      <c r="EB37" s="3">
        <v>1.0000000000000001E-5</v>
      </c>
      <c r="ED37" s="5">
        <v>21</v>
      </c>
      <c r="EE37" s="41">
        <v>2.88259</v>
      </c>
      <c r="EF37" s="5">
        <f t="shared" si="129"/>
        <v>1.0000114120289636</v>
      </c>
      <c r="EG37" s="21">
        <f t="shared" si="96"/>
        <v>2.8826228962005702</v>
      </c>
      <c r="EH37" s="5">
        <v>10</v>
      </c>
      <c r="EI37" s="3">
        <v>1.0000000000000001E-5</v>
      </c>
      <c r="EK37" s="5">
        <v>21</v>
      </c>
      <c r="EL37" s="41">
        <v>2.88069</v>
      </c>
      <c r="EM37" s="34">
        <f t="shared" si="130"/>
        <v>1.0000063720097612</v>
      </c>
      <c r="EN37" s="21">
        <f t="shared" si="97"/>
        <v>2.8807083557847988</v>
      </c>
      <c r="EO37" s="5">
        <v>10</v>
      </c>
      <c r="EP37" s="3">
        <v>0</v>
      </c>
      <c r="ER37" s="5">
        <v>21</v>
      </c>
      <c r="ES37" s="41">
        <v>2.8818700000000002</v>
      </c>
      <c r="ET37" s="34">
        <f t="shared" si="131"/>
        <v>1.0000127560340841</v>
      </c>
      <c r="EU37" s="21">
        <f t="shared" si="98"/>
        <v>2.8819067612319462</v>
      </c>
      <c r="EV37" s="5">
        <v>10</v>
      </c>
      <c r="EW37" s="3">
        <v>1.0000000000000001E-5</v>
      </c>
      <c r="EY37" s="5">
        <v>21</v>
      </c>
      <c r="EZ37" s="41">
        <v>2.8816299999999999</v>
      </c>
      <c r="FA37" s="34">
        <f t="shared" si="132"/>
        <v>1.0000031589975196</v>
      </c>
      <c r="FB37" s="21">
        <f t="shared" si="99"/>
        <v>2.8816391030620223</v>
      </c>
      <c r="FC37" s="5">
        <v>10</v>
      </c>
      <c r="FD37" s="3">
        <v>0</v>
      </c>
      <c r="FF37" s="5">
        <v>21</v>
      </c>
      <c r="FG37" s="41">
        <v>2.8813900000000001</v>
      </c>
      <c r="FH37" s="34">
        <f>1.00000381*(1+0.00000084*($FH$22-19.8))</f>
        <v>1.0000045660028802</v>
      </c>
      <c r="FI37" s="21">
        <f t="shared" si="100"/>
        <v>2.8814031564350393</v>
      </c>
      <c r="FJ37" s="5">
        <v>10</v>
      </c>
      <c r="FK37" s="3">
        <v>1.0000000000000001E-5</v>
      </c>
      <c r="FM37" s="5">
        <v>21</v>
      </c>
      <c r="FN37" s="41">
        <v>2.8803899999999998</v>
      </c>
      <c r="FO37" s="34">
        <f t="shared" si="134"/>
        <v>1.0000011219897587</v>
      </c>
      <c r="FP37" s="21">
        <f t="shared" si="101"/>
        <v>2.8803932317680809</v>
      </c>
      <c r="FQ37" s="5">
        <v>10</v>
      </c>
      <c r="FR37" s="3">
        <v>0</v>
      </c>
      <c r="FT37" s="5">
        <v>21</v>
      </c>
      <c r="FU37" s="41">
        <v>2.8816700000000002</v>
      </c>
      <c r="FV37" s="34">
        <f t="shared" si="135"/>
        <v>0.99999952598367792</v>
      </c>
      <c r="FW37" s="21">
        <f t="shared" si="102"/>
        <v>2.8816686340413855</v>
      </c>
      <c r="FX37" s="5">
        <v>10</v>
      </c>
      <c r="FY37" s="3">
        <v>0</v>
      </c>
      <c r="GA37" s="5">
        <v>21</v>
      </c>
      <c r="GB37" s="41">
        <v>2.8819300000000001</v>
      </c>
      <c r="GC37" s="34">
        <f t="shared" si="136"/>
        <v>1.0000018359924789</v>
      </c>
      <c r="GD37" s="21">
        <f t="shared" si="103"/>
        <v>2.8819352912018048</v>
      </c>
      <c r="GE37" s="5">
        <v>10</v>
      </c>
      <c r="GF37" s="3">
        <v>0</v>
      </c>
      <c r="GH37" s="5">
        <v>21</v>
      </c>
      <c r="GI37" s="41">
        <v>2.88144</v>
      </c>
      <c r="GJ37" s="34">
        <f t="shared" si="137"/>
        <v>1.0000019199927992</v>
      </c>
      <c r="GK37" s="21">
        <f t="shared" si="104"/>
        <v>2.8814455323440513</v>
      </c>
      <c r="GL37" s="5">
        <v>10</v>
      </c>
      <c r="GM37" s="3">
        <v>1.0000000000000001E-5</v>
      </c>
      <c r="GO37" s="5">
        <v>21</v>
      </c>
      <c r="GP37" s="41">
        <v>2.8809499999999999</v>
      </c>
      <c r="GQ37" s="34">
        <f t="shared" si="138"/>
        <v>1.0000009329890385</v>
      </c>
      <c r="GR37" s="21">
        <f t="shared" si="105"/>
        <v>2.8809526878947702</v>
      </c>
      <c r="GS37" s="5">
        <v>10</v>
      </c>
      <c r="GT37" s="3">
        <v>1.0000000000000001E-5</v>
      </c>
      <c r="GV37" s="5">
        <v>21</v>
      </c>
      <c r="GW37" s="41">
        <v>2.8820100000000002</v>
      </c>
      <c r="GX37" s="34">
        <f t="shared" si="139"/>
        <v>1.00000420900152</v>
      </c>
      <c r="GY37" s="21">
        <f t="shared" si="106"/>
        <v>2.8820221303844709</v>
      </c>
      <c r="GZ37" s="5">
        <v>10</v>
      </c>
      <c r="HA37" s="3">
        <v>2.0000000000000002E-5</v>
      </c>
      <c r="HC37" s="5">
        <v>21</v>
      </c>
      <c r="HD37" s="41">
        <v>2.8809300000000002</v>
      </c>
      <c r="HE37" s="34">
        <f t="shared" si="140"/>
        <v>1.0000110130274433</v>
      </c>
      <c r="HF37" s="21">
        <f t="shared" si="107"/>
        <v>2.8809617277611523</v>
      </c>
      <c r="HG37" s="5">
        <v>10</v>
      </c>
      <c r="HH37" s="3">
        <v>1.0000000000000001E-5</v>
      </c>
      <c r="HJ37" s="5">
        <v>21</v>
      </c>
      <c r="HK37" s="41">
        <v>2.8806600000000002</v>
      </c>
      <c r="HL37" s="34">
        <f t="shared" si="141"/>
        <v>1.0000017099919989</v>
      </c>
      <c r="HM37" s="21">
        <f t="shared" si="108"/>
        <v>2.8806649259055517</v>
      </c>
      <c r="HN37" s="5">
        <v>10</v>
      </c>
      <c r="HO37" s="3">
        <v>2.0000000000000002E-5</v>
      </c>
      <c r="HQ37" s="5">
        <v>21</v>
      </c>
      <c r="HR37" s="41">
        <v>2.8817499999999998</v>
      </c>
      <c r="HS37" s="34">
        <f t="shared" si="142"/>
        <v>1.0000083460172822</v>
      </c>
      <c r="HT37" s="21">
        <f t="shared" si="109"/>
        <v>2.8817740511353027</v>
      </c>
      <c r="HU37" s="5">
        <v>10</v>
      </c>
      <c r="HV37" s="3">
        <v>0</v>
      </c>
    </row>
    <row r="39" spans="1:230" x14ac:dyDescent="0.2">
      <c r="K39" s="15"/>
      <c r="CH39" s="15"/>
    </row>
    <row r="40" spans="1:230" x14ac:dyDescent="0.2">
      <c r="CH40" s="15"/>
    </row>
    <row r="41" spans="1:230" x14ac:dyDescent="0.2">
      <c r="K41" s="15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opyToStaff">
          <controlPr defaultSize="0" autoLine="0" r:id="rId5">
            <anchor moveWithCells="1">
              <from>
                <xdr:col>221</xdr:col>
                <xdr:colOff>495300</xdr:colOff>
                <xdr:row>0</xdr:row>
                <xdr:rowOff>0</xdr:rowOff>
              </from>
              <to>
                <xdr:col>223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7173" r:id="rId4" name="CopyToSta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195E2-4A72-4921-BA9C-22BEC77E5CFC}">
  <sheetPr codeName="Sheet15"/>
  <dimension ref="B2:G37"/>
  <sheetViews>
    <sheetView zoomScale="80" zoomScaleNormal="80" workbookViewId="0">
      <selection activeCell="H19" sqref="H19"/>
    </sheetView>
  </sheetViews>
  <sheetFormatPr defaultRowHeight="15" x14ac:dyDescent="0.2"/>
  <cols>
    <col min="1" max="1" width="3" customWidth="1"/>
  </cols>
  <sheetData>
    <row r="2" spans="2:7" x14ac:dyDescent="0.2">
      <c r="D2" s="20">
        <v>44461</v>
      </c>
      <c r="E2" t="s">
        <v>145</v>
      </c>
    </row>
    <row r="3" spans="2:7" x14ac:dyDescent="0.2">
      <c r="E3" t="s">
        <v>419</v>
      </c>
    </row>
    <row r="4" spans="2:7" ht="15.75" x14ac:dyDescent="0.25">
      <c r="B4" s="2" t="s">
        <v>0</v>
      </c>
      <c r="C4" s="2" t="s">
        <v>1</v>
      </c>
      <c r="D4" s="3" t="s">
        <v>2</v>
      </c>
      <c r="E4" s="7" t="s">
        <v>4</v>
      </c>
      <c r="F4" s="5" t="s">
        <v>5</v>
      </c>
      <c r="G4" s="3" t="s">
        <v>6</v>
      </c>
    </row>
    <row r="5" spans="2:7" ht="15.75" x14ac:dyDescent="0.25">
      <c r="B5" s="5"/>
      <c r="C5" s="5"/>
      <c r="D5" s="43">
        <f>(28+27.8)/2</f>
        <v>27.9</v>
      </c>
      <c r="E5" s="8" t="s">
        <v>3</v>
      </c>
      <c r="F5" s="5"/>
      <c r="G5" s="3"/>
    </row>
    <row r="6" spans="2:7" ht="15.75" x14ac:dyDescent="0.25">
      <c r="B6" s="5">
        <v>1</v>
      </c>
      <c r="C6" s="41">
        <v>7.2020000000000001E-2</v>
      </c>
      <c r="D6" s="34">
        <f>1.00000381*(1+0.00000084*($D$5-19.8))</f>
        <v>1.0000106140259233</v>
      </c>
      <c r="E6" s="21">
        <f>C6*D6</f>
        <v>7.2020764422146999E-2</v>
      </c>
      <c r="F6" s="5">
        <v>10</v>
      </c>
      <c r="G6" s="3">
        <v>1.0000000000000001E-5</v>
      </c>
    </row>
    <row r="7" spans="2:7" ht="15.75" x14ac:dyDescent="0.25">
      <c r="B7" s="5">
        <v>2</v>
      </c>
      <c r="C7" s="41">
        <v>0.16303000000000001</v>
      </c>
      <c r="D7" s="34">
        <f t="shared" ref="D7:D20" si="0">1.00000381*(1+0.00000084*($D$5-19.8))</f>
        <v>1.0000106140259233</v>
      </c>
      <c r="E7" s="21">
        <f t="shared" ref="E7:E20" si="1">C7*D7</f>
        <v>0.16303173040464627</v>
      </c>
      <c r="F7" s="5">
        <v>10</v>
      </c>
      <c r="G7" s="3">
        <v>1.0000000000000001E-5</v>
      </c>
    </row>
    <row r="8" spans="2:7" ht="15.75" x14ac:dyDescent="0.25">
      <c r="B8" s="5">
        <v>3</v>
      </c>
      <c r="C8" s="41">
        <v>0.32701999999999998</v>
      </c>
      <c r="D8" s="34">
        <f t="shared" si="0"/>
        <v>1.0000106140259233</v>
      </c>
      <c r="E8" s="21">
        <f t="shared" si="1"/>
        <v>0.32702347099875739</v>
      </c>
      <c r="F8" s="5">
        <v>10</v>
      </c>
      <c r="G8" s="3">
        <v>1.0000000000000001E-5</v>
      </c>
    </row>
    <row r="9" spans="2:7" ht="15.75" x14ac:dyDescent="0.25">
      <c r="B9" s="5">
        <v>4</v>
      </c>
      <c r="C9" s="41">
        <v>0.47300999999999999</v>
      </c>
      <c r="D9" s="34">
        <f t="shared" si="0"/>
        <v>1.0000106140259233</v>
      </c>
      <c r="E9" s="21">
        <f t="shared" si="1"/>
        <v>0.47301502054040195</v>
      </c>
      <c r="F9" s="5">
        <v>10</v>
      </c>
      <c r="G9" s="3">
        <v>1.0000000000000001E-5</v>
      </c>
    </row>
    <row r="10" spans="2:7" ht="15.75" x14ac:dyDescent="0.25">
      <c r="B10" s="5">
        <v>5</v>
      </c>
      <c r="C10" s="41">
        <v>0.68627000000000005</v>
      </c>
      <c r="D10" s="34">
        <f t="shared" si="0"/>
        <v>1.0000106140259233</v>
      </c>
      <c r="E10" s="21">
        <f t="shared" si="1"/>
        <v>0.68627728408757038</v>
      </c>
      <c r="F10" s="5">
        <v>10</v>
      </c>
      <c r="G10" s="3">
        <v>1.0000000000000001E-5</v>
      </c>
    </row>
    <row r="11" spans="2:7" ht="15.75" x14ac:dyDescent="0.25">
      <c r="B11" s="5">
        <v>6</v>
      </c>
      <c r="C11" s="41">
        <v>0.87229000000000001</v>
      </c>
      <c r="D11" s="34">
        <f t="shared" si="0"/>
        <v>1.0000106140259233</v>
      </c>
      <c r="E11" s="21">
        <f t="shared" si="1"/>
        <v>0.87229925850867263</v>
      </c>
      <c r="F11" s="5">
        <v>10</v>
      </c>
      <c r="G11" s="3">
        <v>1.0000000000000001E-5</v>
      </c>
    </row>
    <row r="12" spans="2:7" ht="15.75" x14ac:dyDescent="0.25">
      <c r="B12" s="5">
        <v>7</v>
      </c>
      <c r="C12" s="41">
        <v>1.07206</v>
      </c>
      <c r="D12" s="34">
        <f t="shared" si="0"/>
        <v>1.0000106140259233</v>
      </c>
      <c r="E12" s="21">
        <f t="shared" si="1"/>
        <v>1.0720713788726313</v>
      </c>
      <c r="F12" s="5">
        <v>10</v>
      </c>
      <c r="G12" s="3">
        <v>1.0000000000000001E-5</v>
      </c>
    </row>
    <row r="13" spans="2:7" ht="15.75" x14ac:dyDescent="0.25">
      <c r="B13" s="5">
        <v>8</v>
      </c>
      <c r="C13" s="41">
        <v>1.27704</v>
      </c>
      <c r="D13" s="34">
        <f t="shared" si="0"/>
        <v>1.0000106140259233</v>
      </c>
      <c r="E13" s="21">
        <f t="shared" si="1"/>
        <v>1.2770535545356649</v>
      </c>
      <c r="F13" s="5">
        <v>10</v>
      </c>
      <c r="G13" s="3">
        <v>1.0000000000000001E-5</v>
      </c>
    </row>
    <row r="14" spans="2:7" ht="15.75" x14ac:dyDescent="0.25">
      <c r="B14" s="5">
        <v>9</v>
      </c>
      <c r="C14" s="41">
        <v>1.5239499999999999</v>
      </c>
      <c r="D14" s="34">
        <f t="shared" si="0"/>
        <v>1.0000106140259233</v>
      </c>
      <c r="E14" s="21">
        <f t="shared" si="1"/>
        <v>1.5239661752448057</v>
      </c>
      <c r="F14" s="5">
        <v>10</v>
      </c>
      <c r="G14" s="3">
        <v>2.0000000000000002E-5</v>
      </c>
    </row>
    <row r="15" spans="2:7" ht="15.75" x14ac:dyDescent="0.25">
      <c r="B15" s="5">
        <v>10</v>
      </c>
      <c r="C15" s="41">
        <v>1.79159</v>
      </c>
      <c r="D15" s="34">
        <f t="shared" si="0"/>
        <v>1.0000106140259233</v>
      </c>
      <c r="E15" s="21">
        <f t="shared" si="1"/>
        <v>1.7916090159827038</v>
      </c>
      <c r="F15" s="5">
        <v>10</v>
      </c>
      <c r="G15" s="3">
        <v>2.0000000000000002E-5</v>
      </c>
    </row>
    <row r="16" spans="2:7" ht="15.75" x14ac:dyDescent="0.25">
      <c r="B16" s="5">
        <v>11</v>
      </c>
      <c r="C16" s="41">
        <v>2.1246200000000002</v>
      </c>
      <c r="D16" s="34">
        <f t="shared" si="0"/>
        <v>1.0000106140259233</v>
      </c>
      <c r="E16" s="21">
        <f t="shared" si="1"/>
        <v>2.1246425507717572</v>
      </c>
      <c r="F16" s="5">
        <v>10</v>
      </c>
      <c r="G16" s="3">
        <v>1.0000000000000001E-5</v>
      </c>
    </row>
    <row r="17" spans="2:7" ht="15.75" x14ac:dyDescent="0.25">
      <c r="B17" s="5">
        <v>12</v>
      </c>
      <c r="C17" s="41">
        <v>2.3884699999999999</v>
      </c>
      <c r="D17" s="34">
        <f t="shared" si="0"/>
        <v>1.0000106140259233</v>
      </c>
      <c r="E17" s="21">
        <f t="shared" si="1"/>
        <v>2.3884953512824967</v>
      </c>
      <c r="F17" s="5">
        <v>10</v>
      </c>
      <c r="G17" s="3">
        <v>1.0000000000000001E-5</v>
      </c>
    </row>
    <row r="18" spans="2:7" ht="15.75" x14ac:dyDescent="0.25">
      <c r="B18" s="5">
        <v>13</v>
      </c>
      <c r="C18" s="41">
        <v>2.5142799999999998</v>
      </c>
      <c r="D18" s="34">
        <f t="shared" si="0"/>
        <v>1.0000106140259233</v>
      </c>
      <c r="E18" s="21">
        <f t="shared" si="1"/>
        <v>2.5143066866330983</v>
      </c>
      <c r="F18" s="5">
        <v>10</v>
      </c>
      <c r="G18" s="3">
        <v>0</v>
      </c>
    </row>
    <row r="19" spans="2:7" ht="15.75" x14ac:dyDescent="0.25">
      <c r="B19" s="5">
        <v>14</v>
      </c>
      <c r="C19" s="41">
        <v>2.6440600000000001</v>
      </c>
      <c r="D19" s="34">
        <f t="shared" si="0"/>
        <v>1.0000106140259233</v>
      </c>
      <c r="E19" s="21">
        <f t="shared" si="1"/>
        <v>2.6440880641213829</v>
      </c>
      <c r="F19" s="5">
        <v>10</v>
      </c>
      <c r="G19" s="3">
        <v>1.0000000000000001E-5</v>
      </c>
    </row>
    <row r="20" spans="2:7" ht="15.75" x14ac:dyDescent="0.25">
      <c r="B20" s="5">
        <v>15</v>
      </c>
      <c r="C20" s="41">
        <v>2.8725000000000001</v>
      </c>
      <c r="D20" s="34">
        <f t="shared" si="0"/>
        <v>1.0000106140259233</v>
      </c>
      <c r="E20" s="21">
        <f t="shared" si="1"/>
        <v>2.8725304887894647</v>
      </c>
      <c r="F20" s="5">
        <v>10</v>
      </c>
      <c r="G20" s="3">
        <v>1.0000000000000001E-5</v>
      </c>
    </row>
    <row r="21" spans="2:7" x14ac:dyDescent="0.2">
      <c r="E21" s="15"/>
    </row>
    <row r="22" spans="2:7" ht="15.75" x14ac:dyDescent="0.25">
      <c r="B22" s="144"/>
      <c r="C22" s="144"/>
      <c r="D22" s="43">
        <f>(29.5+29.2)/2</f>
        <v>29.35</v>
      </c>
      <c r="E22" s="23"/>
      <c r="F22" s="144" t="s">
        <v>3</v>
      </c>
      <c r="G22" s="144"/>
    </row>
    <row r="23" spans="2:7" ht="15.75" x14ac:dyDescent="0.25">
      <c r="B23" s="5">
        <v>7</v>
      </c>
      <c r="C23" s="41">
        <v>7.7829999999999996E-2</v>
      </c>
      <c r="D23" s="34">
        <f>1.00000381*(1+0.00000084*($D$22-19.8))</f>
        <v>1.0000118320305638</v>
      </c>
      <c r="E23" s="21">
        <f t="shared" ref="E23:E37" si="2">C23*D23</f>
        <v>7.783092088693877E-2</v>
      </c>
      <c r="F23" s="5">
        <v>10</v>
      </c>
      <c r="G23" s="3">
        <v>2.0000000000000002E-5</v>
      </c>
    </row>
    <row r="24" spans="2:7" ht="15.75" x14ac:dyDescent="0.25">
      <c r="B24" s="5">
        <v>8</v>
      </c>
      <c r="C24" s="41">
        <v>0.28284999999999999</v>
      </c>
      <c r="D24" s="34">
        <f t="shared" ref="D24:D37" si="3">1.00000381*(1+0.00000084*($D$22-19.8))</f>
        <v>1.0000118320305638</v>
      </c>
      <c r="E24" s="21">
        <f t="shared" si="2"/>
        <v>0.28285334668984496</v>
      </c>
      <c r="F24" s="5">
        <v>10</v>
      </c>
      <c r="G24" s="3">
        <v>1.0000000000000001E-5</v>
      </c>
    </row>
    <row r="25" spans="2:7" ht="15.75" x14ac:dyDescent="0.25">
      <c r="B25" s="5">
        <v>9</v>
      </c>
      <c r="C25" s="41">
        <v>0.52975000000000005</v>
      </c>
      <c r="D25" s="34">
        <f t="shared" si="3"/>
        <v>1.0000118320305638</v>
      </c>
      <c r="E25" s="21">
        <f t="shared" si="2"/>
        <v>0.5297562680181912</v>
      </c>
      <c r="F25" s="5">
        <v>10</v>
      </c>
      <c r="G25" s="3">
        <v>1.0000000000000001E-5</v>
      </c>
    </row>
    <row r="26" spans="2:7" ht="15.75" x14ac:dyDescent="0.25">
      <c r="B26" s="5">
        <v>10</v>
      </c>
      <c r="C26" s="41">
        <v>0.79732999999999998</v>
      </c>
      <c r="D26" s="34">
        <f t="shared" si="3"/>
        <v>1.0000118320305638</v>
      </c>
      <c r="E26" s="21">
        <f t="shared" si="2"/>
        <v>0.7973394340329294</v>
      </c>
      <c r="F26" s="5">
        <v>10</v>
      </c>
      <c r="G26" s="3">
        <v>1.0000000000000001E-5</v>
      </c>
    </row>
    <row r="27" spans="2:7" ht="15.75" x14ac:dyDescent="0.25">
      <c r="B27" s="5">
        <v>11</v>
      </c>
      <c r="C27" s="41">
        <v>1.1304000000000001</v>
      </c>
      <c r="D27" s="34">
        <f t="shared" si="3"/>
        <v>1.0000118320305638</v>
      </c>
      <c r="E27" s="21">
        <f t="shared" si="2"/>
        <v>1.1304133749273493</v>
      </c>
      <c r="F27" s="5">
        <v>10</v>
      </c>
      <c r="G27" s="3">
        <v>1.0000000000000001E-5</v>
      </c>
    </row>
    <row r="28" spans="2:7" ht="15.75" x14ac:dyDescent="0.25">
      <c r="B28" s="5">
        <v>12</v>
      </c>
      <c r="C28" s="41">
        <v>1.3942399999999999</v>
      </c>
      <c r="D28" s="34">
        <f t="shared" si="3"/>
        <v>1.0000118320305638</v>
      </c>
      <c r="E28" s="21">
        <f t="shared" si="2"/>
        <v>1.3942564966902931</v>
      </c>
      <c r="F28" s="5">
        <v>10</v>
      </c>
      <c r="G28" s="3">
        <v>1.0000000000000001E-5</v>
      </c>
    </row>
    <row r="29" spans="2:7" ht="15.75" x14ac:dyDescent="0.25">
      <c r="B29" s="5">
        <v>13</v>
      </c>
      <c r="C29" s="41">
        <v>1.5200499999999999</v>
      </c>
      <c r="D29" s="34">
        <f t="shared" si="3"/>
        <v>1.0000118320305638</v>
      </c>
      <c r="E29" s="21">
        <f t="shared" si="2"/>
        <v>1.5200679852780583</v>
      </c>
      <c r="F29" s="5">
        <v>10</v>
      </c>
      <c r="G29" s="3">
        <v>1.0000000000000001E-5</v>
      </c>
    </row>
    <row r="30" spans="2:7" ht="15.75" x14ac:dyDescent="0.25">
      <c r="B30" s="5">
        <v>14</v>
      </c>
      <c r="C30" s="41">
        <v>1.6498299999999999</v>
      </c>
      <c r="D30" s="34">
        <f t="shared" si="3"/>
        <v>1.0000118320305638</v>
      </c>
      <c r="E30" s="21">
        <f t="shared" si="2"/>
        <v>1.649849520838985</v>
      </c>
      <c r="F30" s="5">
        <v>10</v>
      </c>
      <c r="G30" s="3">
        <v>1.0000000000000001E-5</v>
      </c>
    </row>
    <row r="31" spans="2:7" ht="15.75" x14ac:dyDescent="0.25">
      <c r="B31" s="5">
        <v>15</v>
      </c>
      <c r="C31" s="41">
        <v>1.8783099999999999</v>
      </c>
      <c r="D31" s="34">
        <f t="shared" si="3"/>
        <v>1.0000118320305638</v>
      </c>
      <c r="E31" s="21">
        <f t="shared" si="2"/>
        <v>1.8783322242213281</v>
      </c>
      <c r="F31" s="5">
        <v>10</v>
      </c>
      <c r="G31" s="3">
        <v>1.0000000000000001E-5</v>
      </c>
    </row>
    <row r="32" spans="2:7" ht="15.75" x14ac:dyDescent="0.25">
      <c r="B32" s="5">
        <v>16</v>
      </c>
      <c r="C32" s="41">
        <v>2.0606200000000001</v>
      </c>
      <c r="D32" s="34">
        <f t="shared" si="3"/>
        <v>1.0000118320305638</v>
      </c>
      <c r="E32" s="21">
        <f t="shared" si="2"/>
        <v>2.0606443813188204</v>
      </c>
      <c r="F32" s="5">
        <v>10</v>
      </c>
      <c r="G32" s="3">
        <v>1.0000000000000001E-5</v>
      </c>
    </row>
    <row r="33" spans="2:7" ht="15.75" x14ac:dyDescent="0.25">
      <c r="B33" s="5">
        <v>17</v>
      </c>
      <c r="C33" s="41">
        <v>2.21245</v>
      </c>
      <c r="D33" s="34">
        <f t="shared" si="3"/>
        <v>1.0000118320305638</v>
      </c>
      <c r="E33" s="21">
        <f t="shared" si="2"/>
        <v>2.2124761777760207</v>
      </c>
      <c r="F33" s="5">
        <v>10</v>
      </c>
      <c r="G33" s="3">
        <v>1.0000000000000001E-5</v>
      </c>
    </row>
    <row r="34" spans="2:7" ht="15.75" x14ac:dyDescent="0.25">
      <c r="B34" s="5">
        <v>18</v>
      </c>
      <c r="C34" s="41">
        <v>2.3656899999999998</v>
      </c>
      <c r="D34" s="34">
        <f t="shared" si="3"/>
        <v>1.0000118320305638</v>
      </c>
      <c r="E34" s="21">
        <f t="shared" si="2"/>
        <v>2.3657179909163841</v>
      </c>
      <c r="F34" s="5">
        <v>10</v>
      </c>
      <c r="G34" s="3">
        <v>2.0000000000000002E-5</v>
      </c>
    </row>
    <row r="35" spans="2:7" ht="15.75" x14ac:dyDescent="0.25">
      <c r="B35" s="5">
        <v>19</v>
      </c>
      <c r="C35" s="41">
        <v>2.52278</v>
      </c>
      <c r="D35" s="34">
        <f t="shared" si="3"/>
        <v>1.0000118320305638</v>
      </c>
      <c r="E35" s="21">
        <f t="shared" si="2"/>
        <v>2.5228098496100655</v>
      </c>
      <c r="F35" s="5">
        <v>10</v>
      </c>
      <c r="G35" s="3">
        <v>1.0000000000000001E-5</v>
      </c>
    </row>
    <row r="36" spans="2:7" ht="15.75" x14ac:dyDescent="0.25">
      <c r="B36" s="5">
        <v>20</v>
      </c>
      <c r="C36" s="41">
        <v>2.6715</v>
      </c>
      <c r="D36" s="34">
        <f t="shared" si="3"/>
        <v>1.0000118320305638</v>
      </c>
      <c r="E36" s="21">
        <f t="shared" si="2"/>
        <v>2.6715316092696511</v>
      </c>
      <c r="F36" s="5">
        <v>10</v>
      </c>
      <c r="G36" s="3">
        <v>2.0000000000000002E-5</v>
      </c>
    </row>
    <row r="37" spans="2:7" ht="15.75" x14ac:dyDescent="0.25">
      <c r="B37" s="5">
        <v>21</v>
      </c>
      <c r="C37" s="41">
        <v>2.8810899999999999</v>
      </c>
      <c r="D37" s="34">
        <f t="shared" si="3"/>
        <v>1.0000118320305638</v>
      </c>
      <c r="E37" s="21">
        <f t="shared" si="2"/>
        <v>2.881124089144937</v>
      </c>
      <c r="F37" s="5">
        <v>10</v>
      </c>
      <c r="G37" s="3">
        <v>2.0000000000000002E-5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opyToStaff">
          <controlPr defaultSize="0" autoLine="0" r:id="rId5">
            <anchor moveWithCells="1">
              <from>
                <xdr:col>5</xdr:col>
                <xdr:colOff>495300</xdr:colOff>
                <xdr:row>0</xdr:row>
                <xdr:rowOff>0</xdr:rowOff>
              </from>
              <to>
                <xdr:col>7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18433" r:id="rId4" name="CopyToStaf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7"/>
  <sheetViews>
    <sheetView workbookViewId="0">
      <selection activeCell="J20" sqref="J20"/>
    </sheetView>
  </sheetViews>
  <sheetFormatPr defaultRowHeight="15" x14ac:dyDescent="0.2"/>
  <cols>
    <col min="1" max="1" width="6.77734375" customWidth="1"/>
    <col min="4" max="4" width="10.6640625" style="1" customWidth="1"/>
    <col min="5" max="5" width="8" customWidth="1"/>
  </cols>
  <sheetData>
    <row r="2" spans="1:6" x14ac:dyDescent="0.2">
      <c r="A2" s="155">
        <v>26909</v>
      </c>
      <c r="B2" s="155"/>
      <c r="C2" t="s">
        <v>3</v>
      </c>
    </row>
    <row r="4" spans="1:6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3" t="s">
        <v>6</v>
      </c>
    </row>
    <row r="5" spans="1:6" ht="15.75" x14ac:dyDescent="0.25">
      <c r="A5" s="5"/>
      <c r="B5" s="5"/>
      <c r="C5" s="5">
        <v>22.4</v>
      </c>
      <c r="D5" s="6" t="s">
        <v>3</v>
      </c>
      <c r="E5" s="5"/>
      <c r="F5" s="3"/>
    </row>
    <row r="6" spans="1:6" ht="15.75" x14ac:dyDescent="0.25">
      <c r="A6" s="5">
        <v>1</v>
      </c>
      <c r="B6" s="5">
        <v>7.3779999999999998E-2</v>
      </c>
      <c r="C6" s="5">
        <f>1.00000381*(1+0.00000084*(22.4-19.8))</f>
        <v>1.000005994008321</v>
      </c>
      <c r="D6" s="6">
        <f t="shared" ref="D6:D37" si="0">B6*C6</f>
        <v>7.3780442237933924E-2</v>
      </c>
      <c r="E6" s="5">
        <v>8</v>
      </c>
      <c r="F6" s="5">
        <v>1.0000000000000001E-5</v>
      </c>
    </row>
    <row r="7" spans="1:6" ht="15.75" x14ac:dyDescent="0.25">
      <c r="A7" s="5">
        <v>2</v>
      </c>
      <c r="B7" s="5">
        <v>0.16463</v>
      </c>
      <c r="C7" s="5">
        <f t="shared" ref="C7:C20" si="1">1.00000381*(1+0.00000084*(22.4-19.8))</f>
        <v>1.000005994008321</v>
      </c>
      <c r="D7" s="6">
        <f t="shared" si="0"/>
        <v>0.1646309867935899</v>
      </c>
      <c r="E7" s="5">
        <v>8</v>
      </c>
      <c r="F7" s="5">
        <v>1.0000000000000001E-5</v>
      </c>
    </row>
    <row r="8" spans="1:6" ht="15.75" x14ac:dyDescent="0.25">
      <c r="A8" s="5">
        <v>3</v>
      </c>
      <c r="B8" s="5">
        <v>0.32862000000000002</v>
      </c>
      <c r="C8" s="5">
        <f t="shared" si="1"/>
        <v>1.000005994008321</v>
      </c>
      <c r="D8" s="6">
        <f>B8*C8</f>
        <v>0.32862196975101449</v>
      </c>
      <c r="E8" s="5">
        <v>8</v>
      </c>
      <c r="F8" s="5">
        <v>1.0000000000000001E-5</v>
      </c>
    </row>
    <row r="9" spans="1:6" ht="15.75" x14ac:dyDescent="0.25">
      <c r="A9" s="5">
        <v>4</v>
      </c>
      <c r="B9" s="5">
        <v>0.47449000000000002</v>
      </c>
      <c r="C9" s="5">
        <f t="shared" si="1"/>
        <v>1.000005994008321</v>
      </c>
      <c r="D9" s="6">
        <f t="shared" si="0"/>
        <v>0.47449284409700826</v>
      </c>
      <c r="E9" s="5">
        <v>8</v>
      </c>
      <c r="F9" s="5">
        <v>1.0000000000000001E-5</v>
      </c>
    </row>
    <row r="10" spans="1:6" ht="15.75" x14ac:dyDescent="0.25">
      <c r="A10" s="5">
        <v>5</v>
      </c>
      <c r="B10" s="5">
        <v>0.68767999999999996</v>
      </c>
      <c r="C10" s="5">
        <f t="shared" si="1"/>
        <v>1.000005994008321</v>
      </c>
      <c r="D10" s="6">
        <f t="shared" si="0"/>
        <v>0.68768412195964213</v>
      </c>
      <c r="E10" s="5">
        <v>8</v>
      </c>
      <c r="F10" s="5">
        <v>1.0000000000000001E-5</v>
      </c>
    </row>
    <row r="11" spans="1:6" ht="15.75" x14ac:dyDescent="0.25">
      <c r="A11" s="5">
        <v>6</v>
      </c>
      <c r="B11" s="5">
        <v>0.87383999999999995</v>
      </c>
      <c r="C11" s="5">
        <f t="shared" si="1"/>
        <v>1.000005994008321</v>
      </c>
      <c r="D11" s="6">
        <f t="shared" si="0"/>
        <v>0.87384523780423118</v>
      </c>
      <c r="E11" s="5">
        <v>8</v>
      </c>
      <c r="F11" s="5">
        <v>1.0000000000000001E-5</v>
      </c>
    </row>
    <row r="12" spans="1:6" ht="15.75" x14ac:dyDescent="0.25">
      <c r="A12" s="5">
        <v>7</v>
      </c>
      <c r="B12" s="5">
        <v>1.0735300000000001</v>
      </c>
      <c r="C12" s="5">
        <f t="shared" si="1"/>
        <v>1.000005994008321</v>
      </c>
      <c r="D12" s="6">
        <f t="shared" si="0"/>
        <v>1.073536434747753</v>
      </c>
      <c r="E12" s="5">
        <v>8</v>
      </c>
      <c r="F12" s="5">
        <v>1.0000000000000001E-5</v>
      </c>
    </row>
    <row r="13" spans="1:6" ht="15.75" x14ac:dyDescent="0.25">
      <c r="A13" s="5">
        <v>8</v>
      </c>
      <c r="B13" s="5">
        <v>1.2785500000000001</v>
      </c>
      <c r="C13" s="5">
        <f t="shared" si="1"/>
        <v>1.000005994008321</v>
      </c>
      <c r="D13" s="6">
        <f t="shared" si="0"/>
        <v>1.278557663639339</v>
      </c>
      <c r="E13" s="5">
        <v>8</v>
      </c>
      <c r="F13" s="5">
        <v>1.0000000000000001E-5</v>
      </c>
    </row>
    <row r="14" spans="1:6" ht="15.75" x14ac:dyDescent="0.25">
      <c r="A14" s="5">
        <v>9</v>
      </c>
      <c r="B14" s="5">
        <v>1.52542</v>
      </c>
      <c r="C14" s="5">
        <f t="shared" si="1"/>
        <v>1.000005994008321</v>
      </c>
      <c r="D14" s="6">
        <f t="shared" si="0"/>
        <v>1.525429143380173</v>
      </c>
      <c r="E14" s="5">
        <v>8</v>
      </c>
      <c r="F14" s="5">
        <v>1.0000000000000001E-5</v>
      </c>
    </row>
    <row r="15" spans="1:6" ht="15.75" x14ac:dyDescent="0.25">
      <c r="A15" s="5">
        <v>10</v>
      </c>
      <c r="B15" s="5">
        <v>1.79304</v>
      </c>
      <c r="C15" s="5">
        <f t="shared" si="1"/>
        <v>1.000005994008321</v>
      </c>
      <c r="D15" s="6">
        <f t="shared" si="0"/>
        <v>1.7930507474966799</v>
      </c>
      <c r="E15" s="5">
        <v>8</v>
      </c>
      <c r="F15" s="5">
        <v>1.0000000000000001E-5</v>
      </c>
    </row>
    <row r="16" spans="1:6" ht="15.75" x14ac:dyDescent="0.25">
      <c r="A16" s="5">
        <v>11</v>
      </c>
      <c r="B16" s="5">
        <v>2.1261000000000001</v>
      </c>
      <c r="C16" s="5">
        <f t="shared" si="1"/>
        <v>1.000005994008321</v>
      </c>
      <c r="D16" s="6">
        <f t="shared" si="0"/>
        <v>2.1261127438610914</v>
      </c>
      <c r="E16" s="5">
        <v>8</v>
      </c>
      <c r="F16" s="5">
        <v>1.0000000000000001E-5</v>
      </c>
    </row>
    <row r="17" spans="1:6" ht="15.75" x14ac:dyDescent="0.25">
      <c r="A17" s="5">
        <v>12</v>
      </c>
      <c r="B17" s="5">
        <v>2.38991</v>
      </c>
      <c r="C17" s="5">
        <f t="shared" si="1"/>
        <v>1.000005994008321</v>
      </c>
      <c r="D17" s="6">
        <f t="shared" si="0"/>
        <v>2.3899243251404263</v>
      </c>
      <c r="E17" s="5">
        <v>8</v>
      </c>
      <c r="F17" s="5">
        <v>1.0000000000000001E-5</v>
      </c>
    </row>
    <row r="18" spans="1:6" ht="15.75" x14ac:dyDescent="0.25">
      <c r="A18" s="5">
        <v>13</v>
      </c>
      <c r="B18" s="5">
        <v>2.5155799999999999</v>
      </c>
      <c r="C18" s="5">
        <f t="shared" si="1"/>
        <v>1.000005994008321</v>
      </c>
      <c r="D18" s="6">
        <f t="shared" si="0"/>
        <v>2.5155950784074523</v>
      </c>
      <c r="E18" s="5">
        <v>8</v>
      </c>
      <c r="F18" s="5">
        <v>1.0000000000000001E-5</v>
      </c>
    </row>
    <row r="19" spans="1:6" ht="15.75" x14ac:dyDescent="0.25">
      <c r="A19" s="5">
        <v>14</v>
      </c>
      <c r="B19" s="5">
        <v>2.6450399999999998</v>
      </c>
      <c r="C19" s="5">
        <f t="shared" si="1"/>
        <v>1.000005994008321</v>
      </c>
      <c r="D19" s="6">
        <f t="shared" si="0"/>
        <v>2.645055854391769</v>
      </c>
      <c r="E19" s="5">
        <v>8</v>
      </c>
      <c r="F19" s="5">
        <v>1.0000000000000001E-5</v>
      </c>
    </row>
    <row r="20" spans="1:6" ht="15.75" x14ac:dyDescent="0.25">
      <c r="A20" s="5">
        <v>15</v>
      </c>
      <c r="B20" s="5">
        <v>2.8740899999999998</v>
      </c>
      <c r="C20" s="5">
        <f t="shared" si="1"/>
        <v>1.000005994008321</v>
      </c>
      <c r="D20" s="6">
        <f t="shared" si="0"/>
        <v>2.8741072273193753</v>
      </c>
      <c r="E20" s="5">
        <v>8</v>
      </c>
      <c r="F20" s="9">
        <v>0</v>
      </c>
    </row>
    <row r="21" spans="1:6" ht="15.75" x14ac:dyDescent="0.25">
      <c r="A21" s="1"/>
      <c r="B21" s="1"/>
      <c r="C21" s="1"/>
      <c r="D21" s="10"/>
      <c r="F21" s="1" t="s">
        <v>3</v>
      </c>
    </row>
    <row r="22" spans="1:6" ht="15.75" x14ac:dyDescent="0.25">
      <c r="A22" s="1"/>
      <c r="B22" s="1"/>
      <c r="C22" s="13">
        <v>23.1</v>
      </c>
      <c r="D22" s="10"/>
      <c r="F22" s="1" t="s">
        <v>3</v>
      </c>
    </row>
    <row r="23" spans="1:6" ht="15.75" x14ac:dyDescent="0.25">
      <c r="A23" s="5">
        <v>7</v>
      </c>
      <c r="B23" s="5">
        <v>7.9560000000000006E-2</v>
      </c>
      <c r="C23" s="5">
        <f>1.00000381*(1+0.00000084*(23.1-19.8))</f>
        <v>1.0000065820105613</v>
      </c>
      <c r="D23" s="6">
        <f t="shared" ref="D23" si="2">B23*C23</f>
        <v>7.9560523664760255E-2</v>
      </c>
      <c r="E23" s="5">
        <v>8</v>
      </c>
      <c r="F23" s="5">
        <v>2.0000000000000002E-5</v>
      </c>
    </row>
    <row r="24" spans="1:6" ht="15.75" x14ac:dyDescent="0.25">
      <c r="A24" s="5">
        <v>8</v>
      </c>
      <c r="B24" s="5">
        <v>0.28452</v>
      </c>
      <c r="C24" s="5">
        <f t="shared" ref="C24:C37" si="3">1.00000381*(1+0.00000084*(23.1-19.8))</f>
        <v>1.0000065820105613</v>
      </c>
      <c r="D24" s="6">
        <f t="shared" si="0"/>
        <v>0.28452187271364487</v>
      </c>
      <c r="E24" s="5">
        <v>8</v>
      </c>
      <c r="F24" s="5">
        <v>2.0000000000000002E-5</v>
      </c>
    </row>
    <row r="25" spans="1:6" ht="15.75" x14ac:dyDescent="0.25">
      <c r="A25" s="5">
        <v>9</v>
      </c>
      <c r="B25" s="5">
        <v>0.53137999999999996</v>
      </c>
      <c r="C25" s="5">
        <f t="shared" si="3"/>
        <v>1.0000065820105613</v>
      </c>
      <c r="D25" s="6">
        <f t="shared" si="0"/>
        <v>0.53138349754877201</v>
      </c>
      <c r="E25" s="5">
        <v>8</v>
      </c>
      <c r="F25" s="5">
        <v>1.0000000000000001E-5</v>
      </c>
    </row>
    <row r="26" spans="1:6" ht="15.75" x14ac:dyDescent="0.25">
      <c r="A26" s="5">
        <v>10</v>
      </c>
      <c r="B26" s="5">
        <v>0.79893000000000003</v>
      </c>
      <c r="C26" s="5">
        <f t="shared" si="3"/>
        <v>1.0000065820105613</v>
      </c>
      <c r="D26" s="6">
        <f t="shared" si="0"/>
        <v>0.79893525856569769</v>
      </c>
      <c r="E26" s="5">
        <v>8</v>
      </c>
      <c r="F26" s="5">
        <v>1.0000000000000001E-5</v>
      </c>
    </row>
    <row r="27" spans="1:6" ht="15.75" x14ac:dyDescent="0.25">
      <c r="A27" s="5">
        <v>11</v>
      </c>
      <c r="B27" s="5">
        <v>1.1320699999999999</v>
      </c>
      <c r="C27" s="5">
        <f t="shared" si="3"/>
        <v>1.0000065820105613</v>
      </c>
      <c r="D27" s="6">
        <f t="shared" si="0"/>
        <v>1.132077451296696</v>
      </c>
      <c r="E27" s="5">
        <v>8</v>
      </c>
      <c r="F27" s="5">
        <v>1.0000000000000001E-5</v>
      </c>
    </row>
    <row r="28" spans="1:6" ht="15.75" x14ac:dyDescent="0.25">
      <c r="A28" s="5">
        <v>12</v>
      </c>
      <c r="B28" s="5">
        <v>1.3957999999999999</v>
      </c>
      <c r="C28" s="5">
        <f t="shared" si="3"/>
        <v>1.0000065820105613</v>
      </c>
      <c r="D28" s="6">
        <f t="shared" si="0"/>
        <v>1.3958091871703413</v>
      </c>
      <c r="E28" s="5">
        <v>8</v>
      </c>
      <c r="F28" s="5">
        <v>1.0000000000000001E-5</v>
      </c>
    </row>
    <row r="29" spans="1:6" ht="15.75" x14ac:dyDescent="0.25">
      <c r="A29" s="5">
        <v>13</v>
      </c>
      <c r="B29" s="5">
        <v>1.52146</v>
      </c>
      <c r="C29" s="5">
        <f t="shared" si="3"/>
        <v>1.0000065820105613</v>
      </c>
      <c r="D29" s="6">
        <f t="shared" si="0"/>
        <v>1.5214700142657887</v>
      </c>
      <c r="E29" s="5">
        <v>8</v>
      </c>
      <c r="F29" s="5">
        <v>1.0000000000000001E-5</v>
      </c>
    </row>
    <row r="30" spans="1:6" ht="15.75" x14ac:dyDescent="0.25">
      <c r="A30" s="5">
        <v>14</v>
      </c>
      <c r="B30" s="5">
        <v>1.6509799999999999</v>
      </c>
      <c r="C30" s="5">
        <f t="shared" si="3"/>
        <v>1.0000065820105613</v>
      </c>
      <c r="D30" s="6">
        <f t="shared" si="0"/>
        <v>1.6509908667677964</v>
      </c>
      <c r="E30" s="5">
        <v>8</v>
      </c>
      <c r="F30" s="5">
        <v>1.0000000000000001E-5</v>
      </c>
    </row>
    <row r="31" spans="1:6" ht="15.75" x14ac:dyDescent="0.25">
      <c r="A31" s="5">
        <v>15</v>
      </c>
      <c r="B31" s="5">
        <v>1.87991</v>
      </c>
      <c r="C31" s="5">
        <f t="shared" si="3"/>
        <v>1.0000065820105613</v>
      </c>
      <c r="D31" s="6">
        <f t="shared" si="0"/>
        <v>1.8799223735874742</v>
      </c>
      <c r="E31" s="5">
        <v>8</v>
      </c>
      <c r="F31" s="5">
        <v>1.0000000000000001E-5</v>
      </c>
    </row>
    <row r="32" spans="1:6" ht="15.75" x14ac:dyDescent="0.25">
      <c r="A32" s="5">
        <v>16</v>
      </c>
      <c r="B32" s="5">
        <v>2.0621700000000001</v>
      </c>
      <c r="C32" s="5">
        <f t="shared" si="3"/>
        <v>1.0000065820105613</v>
      </c>
      <c r="D32" s="6">
        <f t="shared" si="0"/>
        <v>2.0621835732247193</v>
      </c>
      <c r="E32" s="5">
        <v>8</v>
      </c>
      <c r="F32" s="5">
        <v>1.0000000000000001E-5</v>
      </c>
    </row>
    <row r="33" spans="1:6" ht="15.75" x14ac:dyDescent="0.25">
      <c r="A33" s="5">
        <v>17</v>
      </c>
      <c r="B33" s="5">
        <v>2.21414</v>
      </c>
      <c r="C33" s="5">
        <f t="shared" si="3"/>
        <v>1.0000065820105613</v>
      </c>
      <c r="D33" s="6">
        <f t="shared" si="0"/>
        <v>2.214154573492864</v>
      </c>
      <c r="E33" s="5">
        <v>8</v>
      </c>
      <c r="F33" s="5">
        <v>1.0000000000000001E-5</v>
      </c>
    </row>
    <row r="34" spans="1:6" ht="15.75" x14ac:dyDescent="0.25">
      <c r="A34" s="5">
        <v>18</v>
      </c>
      <c r="B34" s="5">
        <v>2.3664399999999999</v>
      </c>
      <c r="C34" s="5">
        <f t="shared" si="3"/>
        <v>1.0000065820105613</v>
      </c>
      <c r="D34" s="6">
        <f t="shared" si="0"/>
        <v>2.3664555759330725</v>
      </c>
      <c r="E34" s="5">
        <v>8</v>
      </c>
      <c r="F34" s="5">
        <v>1.0000000000000001E-5</v>
      </c>
    </row>
    <row r="35" spans="1:6" ht="15.75" x14ac:dyDescent="0.25">
      <c r="A35" s="5">
        <v>19</v>
      </c>
      <c r="B35" s="5">
        <v>2.5245000000000002</v>
      </c>
      <c r="C35" s="5">
        <f t="shared" si="3"/>
        <v>1.0000065820105613</v>
      </c>
      <c r="D35" s="6">
        <f t="shared" si="0"/>
        <v>2.5245166162856623</v>
      </c>
      <c r="E35" s="5">
        <v>8</v>
      </c>
      <c r="F35" s="5">
        <v>2.0000000000000002E-5</v>
      </c>
    </row>
    <row r="36" spans="1:6" ht="15.75" x14ac:dyDescent="0.25">
      <c r="A36" s="5">
        <v>20</v>
      </c>
      <c r="B36" s="5">
        <v>2.6732</v>
      </c>
      <c r="C36" s="5">
        <f t="shared" si="3"/>
        <v>1.0000065820105613</v>
      </c>
      <c r="D36" s="6">
        <f t="shared" si="0"/>
        <v>2.6732175950306325</v>
      </c>
      <c r="E36" s="5">
        <v>8</v>
      </c>
      <c r="F36" s="5">
        <v>1.0000000000000001E-5</v>
      </c>
    </row>
    <row r="37" spans="1:6" ht="15.75" x14ac:dyDescent="0.25">
      <c r="A37" s="5">
        <v>21</v>
      </c>
      <c r="B37" s="5">
        <v>2.8828100000000001</v>
      </c>
      <c r="C37" s="5">
        <f t="shared" si="3"/>
        <v>1.0000065820105613</v>
      </c>
      <c r="D37" s="6">
        <f t="shared" si="0"/>
        <v>2.8828289746858662</v>
      </c>
      <c r="E37" s="5">
        <v>8</v>
      </c>
      <c r="F37" s="5">
        <v>1.0000000000000001E-5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82"/>
  <sheetViews>
    <sheetView topLeftCell="Z128" zoomScale="85" zoomScaleNormal="85" workbookViewId="0">
      <selection activeCell="AQ153" sqref="AQ153"/>
    </sheetView>
  </sheetViews>
  <sheetFormatPr defaultRowHeight="15" x14ac:dyDescent="0.2"/>
  <cols>
    <col min="1" max="10" width="8.88671875" style="17"/>
    <col min="11" max="11" width="9.88671875" style="17" bestFit="1" customWidth="1"/>
    <col min="12" max="12" width="8.88671875" style="17"/>
    <col min="13" max="13" width="9.88671875" style="17" bestFit="1" customWidth="1"/>
    <col min="14" max="14" width="8.88671875" style="17"/>
    <col min="15" max="15" width="9.88671875" style="17" bestFit="1" customWidth="1"/>
    <col min="16" max="16" width="7.44140625" style="17" bestFit="1" customWidth="1"/>
    <col min="17" max="17" width="10.6640625" style="17" bestFit="1" customWidth="1"/>
    <col min="18" max="18" width="11.109375" style="17" customWidth="1"/>
    <col min="19" max="19" width="10.6640625" style="17" bestFit="1" customWidth="1"/>
    <col min="20" max="24" width="10.6640625" style="17" customWidth="1"/>
    <col min="25" max="25" width="10.109375" style="17" bestFit="1" customWidth="1"/>
    <col min="26" max="28" width="10.109375" style="17" customWidth="1"/>
    <col min="29" max="29" width="9.88671875" bestFit="1" customWidth="1"/>
    <col min="33" max="33" width="11.44140625" bestFit="1" customWidth="1"/>
    <col min="34" max="34" width="12.77734375" bestFit="1" customWidth="1"/>
    <col min="39" max="39" width="12.88671875" customWidth="1"/>
    <col min="40" max="40" width="16.88671875" customWidth="1"/>
  </cols>
  <sheetData>
    <row r="1" spans="1:45" s="18" customFormat="1" x14ac:dyDescent="0.2">
      <c r="C1" s="18">
        <v>43186</v>
      </c>
      <c r="E1" s="18">
        <v>43158</v>
      </c>
      <c r="G1" s="18">
        <v>43157</v>
      </c>
      <c r="I1" s="18">
        <v>43111</v>
      </c>
      <c r="K1" s="18">
        <v>43060</v>
      </c>
      <c r="M1" s="18">
        <v>43059</v>
      </c>
      <c r="O1" s="18">
        <v>43060</v>
      </c>
      <c r="AC1" s="18">
        <v>43052</v>
      </c>
      <c r="AE1" s="18">
        <v>42055</v>
      </c>
      <c r="AH1" s="18">
        <v>41431</v>
      </c>
      <c r="AL1" s="18">
        <v>40595</v>
      </c>
      <c r="AO1" s="18">
        <v>39841</v>
      </c>
    </row>
    <row r="2" spans="1:45" s="1" customFormat="1" x14ac:dyDescent="0.2">
      <c r="A2" s="13"/>
      <c r="B2" s="13"/>
      <c r="C2" s="13" t="s">
        <v>190</v>
      </c>
      <c r="D2" s="13" t="s">
        <v>36</v>
      </c>
      <c r="E2" s="13" t="s">
        <v>144</v>
      </c>
      <c r="F2" s="13" t="s">
        <v>36</v>
      </c>
      <c r="G2" s="13" t="s">
        <v>143</v>
      </c>
      <c r="H2" s="13" t="s">
        <v>36</v>
      </c>
      <c r="I2" s="13" t="s">
        <v>37</v>
      </c>
      <c r="J2" s="13" t="s">
        <v>36</v>
      </c>
      <c r="K2" s="13" t="s">
        <v>44</v>
      </c>
      <c r="L2" s="13" t="s">
        <v>36</v>
      </c>
      <c r="M2" s="13" t="s">
        <v>42</v>
      </c>
      <c r="N2" s="1" t="s">
        <v>36</v>
      </c>
      <c r="O2" s="1" t="s">
        <v>65</v>
      </c>
      <c r="P2" s="1" t="s">
        <v>36</v>
      </c>
      <c r="Q2" s="13" t="s">
        <v>66</v>
      </c>
      <c r="R2" s="13" t="s">
        <v>64</v>
      </c>
      <c r="S2" s="13" t="s">
        <v>43</v>
      </c>
      <c r="T2" s="13" t="s">
        <v>192</v>
      </c>
      <c r="U2" s="13" t="s">
        <v>191</v>
      </c>
      <c r="V2" s="13" t="s">
        <v>152</v>
      </c>
      <c r="W2" s="13" t="s">
        <v>171</v>
      </c>
      <c r="X2" s="13" t="s">
        <v>151</v>
      </c>
      <c r="Y2" s="13" t="s">
        <v>38</v>
      </c>
      <c r="Z2" s="13" t="s">
        <v>39</v>
      </c>
      <c r="AA2" s="13" t="s">
        <v>40</v>
      </c>
      <c r="AB2" s="13" t="s">
        <v>41</v>
      </c>
      <c r="AC2" s="1" t="s">
        <v>7</v>
      </c>
      <c r="AD2" s="1" t="s">
        <v>36</v>
      </c>
      <c r="AE2" s="1" t="s">
        <v>8</v>
      </c>
      <c r="AG2" s="1" t="s">
        <v>29</v>
      </c>
      <c r="AH2" s="1" t="s">
        <v>30</v>
      </c>
      <c r="AJ2" s="1" t="s">
        <v>177</v>
      </c>
      <c r="AK2" s="1" t="s">
        <v>31</v>
      </c>
      <c r="AL2" s="1" t="s">
        <v>32</v>
      </c>
      <c r="AN2" s="1" t="s">
        <v>33</v>
      </c>
      <c r="AO2" s="1" t="s">
        <v>34</v>
      </c>
      <c r="AQ2" s="1" t="s">
        <v>35</v>
      </c>
      <c r="AR2" s="1" t="s">
        <v>133</v>
      </c>
      <c r="AS2" s="1" t="s">
        <v>134</v>
      </c>
    </row>
    <row r="3" spans="1:45" s="1" customFormat="1" x14ac:dyDescent="0.2">
      <c r="A3" s="13"/>
      <c r="B3" s="13" t="s">
        <v>89</v>
      </c>
      <c r="C3" s="13"/>
      <c r="D3" s="13"/>
      <c r="E3" s="13"/>
      <c r="F3" s="13"/>
      <c r="G3" s="31"/>
      <c r="H3" s="13"/>
      <c r="I3" s="13"/>
      <c r="J3" s="13"/>
      <c r="K3" s="13"/>
      <c r="L3" s="13"/>
      <c r="M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45" x14ac:dyDescent="0.2">
      <c r="A4" s="17" t="s">
        <v>9</v>
      </c>
      <c r="B4" s="13" t="s">
        <v>90</v>
      </c>
      <c r="C4" s="1">
        <v>9.0810000000000002E-2</v>
      </c>
      <c r="D4" s="13">
        <f>C4</f>
        <v>9.0810000000000002E-2</v>
      </c>
      <c r="E4" s="1">
        <v>9.0910000000000005E-2</v>
      </c>
      <c r="F4" s="15">
        <f>E4</f>
        <v>9.0910000000000005E-2</v>
      </c>
      <c r="G4" s="31" t="s">
        <v>146</v>
      </c>
      <c r="H4" s="15" t="str">
        <f>G4</f>
        <v>.09085</v>
      </c>
      <c r="I4">
        <v>9.0889999999999999E-2</v>
      </c>
      <c r="J4" s="15">
        <f>I4</f>
        <v>9.0889999999999999E-2</v>
      </c>
      <c r="K4" s="15">
        <v>9.0910000000000005E-2</v>
      </c>
      <c r="L4" s="15">
        <f>K4</f>
        <v>9.0910000000000005E-2</v>
      </c>
      <c r="M4">
        <v>9.0630000000000002E-2</v>
      </c>
      <c r="N4" s="15">
        <f>M4</f>
        <v>9.0630000000000002E-2</v>
      </c>
      <c r="O4" s="15">
        <v>9.0920000000000001E-2</v>
      </c>
      <c r="P4" s="15">
        <f>O4</f>
        <v>9.0920000000000001E-2</v>
      </c>
      <c r="Q4" s="15">
        <f>J4-P4</f>
        <v>-3.0000000000002247E-5</v>
      </c>
      <c r="R4" s="15">
        <f>J4-L4</f>
        <v>-2.0000000000006124E-5</v>
      </c>
      <c r="S4" s="15">
        <f t="shared" ref="S4:S23" si="0">J4-N4</f>
        <v>2.5999999999999635E-4</v>
      </c>
      <c r="T4" s="15">
        <f>D4-F4</f>
        <v>-1.0000000000000286E-4</v>
      </c>
      <c r="U4" s="15">
        <f>D4-AD4</f>
        <v>-1.9999999999992246E-5</v>
      </c>
      <c r="V4" s="15">
        <f t="shared" ref="V4:V23" si="1">H4-J4</f>
        <v>-3.999999999999837E-5</v>
      </c>
      <c r="W4" s="15">
        <f>F4-AD4</f>
        <v>8.0000000000010618E-5</v>
      </c>
      <c r="X4" s="15">
        <f>H4-AD4</f>
        <v>2.0000000000006124E-5</v>
      </c>
      <c r="Y4" s="15">
        <f t="shared" ref="Y4:Y23" si="2">J4-AD4</f>
        <v>6.0000000000004494E-5</v>
      </c>
      <c r="Z4" s="15">
        <f t="shared" ref="Z4:Z23" si="3">J4-AF4</f>
        <v>3.0000000000002247E-5</v>
      </c>
      <c r="AA4" s="15">
        <f t="shared" ref="AA4:AA23" si="4">J4-AI4</f>
        <v>3.0000000000002247E-5</v>
      </c>
      <c r="AB4" s="15">
        <f t="shared" ref="AB4:AB23" si="5">J4-AM4</f>
        <v>9.9999999999961231E-6</v>
      </c>
      <c r="AC4" s="15">
        <v>9.0829999999999994E-2</v>
      </c>
      <c r="AD4" s="15">
        <f>AC4</f>
        <v>9.0829999999999994E-2</v>
      </c>
      <c r="AE4" s="15">
        <v>9.0859999999999996E-2</v>
      </c>
      <c r="AF4" s="15">
        <f>AE4</f>
        <v>9.0859999999999996E-2</v>
      </c>
      <c r="AG4" s="19">
        <f>AF4-AD4</f>
        <v>3.0000000000002247E-5</v>
      </c>
      <c r="AH4" s="15">
        <v>9.0859999999999996E-2</v>
      </c>
      <c r="AI4">
        <f>AH4</f>
        <v>9.0859999999999996E-2</v>
      </c>
      <c r="AJ4" s="15">
        <f>AF4-AI4</f>
        <v>0</v>
      </c>
      <c r="AK4" s="19">
        <f>AI4-AD4</f>
        <v>3.0000000000002247E-5</v>
      </c>
      <c r="AL4" s="15">
        <v>9.0880000000000002E-2</v>
      </c>
      <c r="AM4">
        <f>AL4</f>
        <v>9.0880000000000002E-2</v>
      </c>
      <c r="AN4" s="19">
        <f>AM4-AD4</f>
        <v>5.0000000000008371E-5</v>
      </c>
      <c r="AO4">
        <v>9.0920000000000001E-2</v>
      </c>
      <c r="AP4">
        <f>AO4</f>
        <v>9.0920000000000001E-2</v>
      </c>
      <c r="AQ4" s="19">
        <f>AP4-AD4</f>
        <v>9.0000000000006741E-5</v>
      </c>
      <c r="AR4" s="15">
        <f>AI4-AF4</f>
        <v>0</v>
      </c>
      <c r="AS4" s="15">
        <f>AI4-AM4</f>
        <v>-2.0000000000006124E-5</v>
      </c>
    </row>
    <row r="5" spans="1:45" x14ac:dyDescent="0.2">
      <c r="A5" s="17" t="s">
        <v>10</v>
      </c>
      <c r="B5" s="13" t="s">
        <v>91</v>
      </c>
      <c r="C5" s="31">
        <v>0.16405</v>
      </c>
      <c r="D5" s="13">
        <f t="shared" ref="D5:J23" si="6">D4+C5</f>
        <v>0.25485999999999998</v>
      </c>
      <c r="E5" s="1">
        <v>0.16397999999999999</v>
      </c>
      <c r="F5" s="15">
        <f t="shared" si="6"/>
        <v>0.25489000000000001</v>
      </c>
      <c r="G5" s="31" t="s">
        <v>147</v>
      </c>
      <c r="H5" s="15">
        <f t="shared" si="6"/>
        <v>0.25486999999999999</v>
      </c>
      <c r="I5" s="15">
        <v>0.16395999999999999</v>
      </c>
      <c r="J5" s="15">
        <f t="shared" si="6"/>
        <v>0.25485000000000002</v>
      </c>
      <c r="K5" s="15">
        <v>0.16403999999999999</v>
      </c>
      <c r="L5" s="15">
        <f>L4+K5</f>
        <v>0.25495000000000001</v>
      </c>
      <c r="M5" s="15">
        <v>0.16428000000000001</v>
      </c>
      <c r="N5" s="15">
        <f t="shared" ref="N5:P23" si="7">N4+M5</f>
        <v>0.25491000000000003</v>
      </c>
      <c r="O5" s="15">
        <v>0.16391</v>
      </c>
      <c r="P5" s="15">
        <f t="shared" si="7"/>
        <v>0.25483</v>
      </c>
      <c r="Q5" s="15">
        <f t="shared" ref="Q5:Q23" si="8">J5-P5</f>
        <v>2.0000000000020002E-5</v>
      </c>
      <c r="R5" s="15">
        <f t="shared" ref="R5:R23" si="9">J5-L5</f>
        <v>-9.9999999999988987E-5</v>
      </c>
      <c r="S5" s="15">
        <f t="shared" si="0"/>
        <v>-6.0000000000004494E-5</v>
      </c>
      <c r="T5" s="15">
        <f t="shared" ref="T5:T66" si="10">D5-F5</f>
        <v>-3.0000000000030003E-5</v>
      </c>
      <c r="U5" s="15">
        <f t="shared" ref="U5:U23" si="11">D5-AD5</f>
        <v>3.9999999999984492E-5</v>
      </c>
      <c r="V5" s="15">
        <f t="shared" si="1"/>
        <v>1.9999999999964491E-5</v>
      </c>
      <c r="W5" s="15">
        <f t="shared" ref="W5:W23" si="12">F5-AD5</f>
        <v>7.0000000000014495E-5</v>
      </c>
      <c r="X5" s="15">
        <f t="shared" ref="X5:X23" si="13">H5-AD5</f>
        <v>4.9999999999994493E-5</v>
      </c>
      <c r="Y5" s="15">
        <f t="shared" si="2"/>
        <v>3.0000000000030003E-5</v>
      </c>
      <c r="Z5" s="15">
        <f t="shared" si="3"/>
        <v>-4.9999999999994493E-5</v>
      </c>
      <c r="AA5" s="15">
        <f t="shared" si="4"/>
        <v>-4.9999999999994493E-5</v>
      </c>
      <c r="AB5" s="15">
        <f t="shared" si="5"/>
        <v>-9.9999999999544897E-6</v>
      </c>
      <c r="AC5" s="15">
        <v>0.16399</v>
      </c>
      <c r="AD5" s="15">
        <f>AD4+AC5</f>
        <v>0.25481999999999999</v>
      </c>
      <c r="AE5" s="15">
        <v>0.16403999999999999</v>
      </c>
      <c r="AF5" s="15">
        <f>AF4+AE5</f>
        <v>0.25490000000000002</v>
      </c>
      <c r="AG5" s="19">
        <f t="shared" ref="AG5:AG23" si="14">AF5-AD5</f>
        <v>8.0000000000024496E-5</v>
      </c>
      <c r="AH5" s="15">
        <v>0.16403999999999999</v>
      </c>
      <c r="AI5">
        <f>AI4+AH5</f>
        <v>0.25490000000000002</v>
      </c>
      <c r="AJ5" s="15">
        <f t="shared" ref="AJ5:AJ23" si="15">AF5-AI5</f>
        <v>0</v>
      </c>
      <c r="AK5" s="19">
        <f t="shared" ref="AK5:AK23" si="16">AI5-AD5</f>
        <v>8.0000000000024496E-5</v>
      </c>
      <c r="AL5" s="15">
        <v>0.16397999999999999</v>
      </c>
      <c r="AM5">
        <f>AM4+AL5</f>
        <v>0.25485999999999998</v>
      </c>
      <c r="AN5" s="19">
        <f t="shared" ref="AN5:AN23" si="17">AM5-AD5</f>
        <v>3.9999999999984492E-5</v>
      </c>
      <c r="AO5">
        <v>0.16400000000000001</v>
      </c>
      <c r="AP5">
        <f>AP4+AO5</f>
        <v>0.25492000000000004</v>
      </c>
      <c r="AQ5" s="19">
        <f t="shared" ref="AQ5:AQ23" si="18">AP5-AD5</f>
        <v>1.000000000000445E-4</v>
      </c>
      <c r="AR5" s="15">
        <f t="shared" ref="AR5:AR23" si="19">AI5-AF5</f>
        <v>0</v>
      </c>
      <c r="AS5" s="15">
        <f t="shared" ref="AS5:AS23" si="20">AI5-AM5</f>
        <v>4.0000000000040004E-5</v>
      </c>
    </row>
    <row r="6" spans="1:45" x14ac:dyDescent="0.2">
      <c r="A6" s="17" t="s">
        <v>11</v>
      </c>
      <c r="B6" s="13" t="s">
        <v>92</v>
      </c>
      <c r="C6" s="31">
        <v>0.14610000000000001</v>
      </c>
      <c r="D6" s="13">
        <f t="shared" si="6"/>
        <v>0.40095999999999998</v>
      </c>
      <c r="E6" s="31">
        <v>0.14613999999999999</v>
      </c>
      <c r="F6" s="15">
        <f t="shared" si="6"/>
        <v>0.40103</v>
      </c>
      <c r="G6" s="31" t="s">
        <v>148</v>
      </c>
      <c r="H6" s="15">
        <f t="shared" si="6"/>
        <v>0.40100000000000002</v>
      </c>
      <c r="I6" s="15">
        <v>0.14607000000000001</v>
      </c>
      <c r="J6" s="15">
        <f t="shared" si="6"/>
        <v>0.40092000000000005</v>
      </c>
      <c r="K6" s="15">
        <v>0.14587</v>
      </c>
      <c r="L6" s="15">
        <f t="shared" ref="L6:L23" si="21">L5+K6</f>
        <v>0.40082000000000001</v>
      </c>
      <c r="M6" s="15">
        <v>0.14566000000000001</v>
      </c>
      <c r="N6" s="15">
        <f t="shared" si="7"/>
        <v>0.40057000000000004</v>
      </c>
      <c r="O6" s="15">
        <v>0.14565</v>
      </c>
      <c r="P6" s="15">
        <f t="shared" si="7"/>
        <v>0.40048</v>
      </c>
      <c r="Q6" s="15">
        <f t="shared" si="8"/>
        <v>4.4000000000005146E-4</v>
      </c>
      <c r="R6" s="15">
        <f t="shared" si="9"/>
        <v>1.000000000000445E-4</v>
      </c>
      <c r="S6" s="15">
        <f t="shared" si="0"/>
        <v>3.5000000000001696E-4</v>
      </c>
      <c r="T6" s="15">
        <f t="shared" si="10"/>
        <v>-7.0000000000014495E-5</v>
      </c>
      <c r="U6" s="15">
        <f t="shared" si="11"/>
        <v>2.6999999999999247E-4</v>
      </c>
      <c r="V6" s="15">
        <f t="shared" si="1"/>
        <v>7.9999999999968985E-5</v>
      </c>
      <c r="W6" s="15">
        <f t="shared" si="12"/>
        <v>3.4000000000000696E-4</v>
      </c>
      <c r="X6" s="15">
        <f t="shared" si="13"/>
        <v>3.1000000000003247E-4</v>
      </c>
      <c r="Y6" s="15">
        <f t="shared" si="2"/>
        <v>2.3000000000006349E-4</v>
      </c>
      <c r="Z6" s="15">
        <f t="shared" si="3"/>
        <v>2.3000000000006349E-4</v>
      </c>
      <c r="AA6" s="15">
        <f t="shared" si="4"/>
        <v>1.0000000000065512E-5</v>
      </c>
      <c r="AB6" s="15">
        <f t="shared" si="5"/>
        <v>-2.999999999991898E-5</v>
      </c>
      <c r="AC6" s="15">
        <v>0.14587</v>
      </c>
      <c r="AD6" s="15">
        <f>AD5+AC6</f>
        <v>0.40068999999999999</v>
      </c>
      <c r="AE6" s="15">
        <v>0.14579</v>
      </c>
      <c r="AF6" s="15">
        <f t="shared" ref="AD6:AF23" si="22">AF5+AE6</f>
        <v>0.40068999999999999</v>
      </c>
      <c r="AG6" s="19">
        <f t="shared" si="14"/>
        <v>0</v>
      </c>
      <c r="AH6" s="15">
        <v>0.14601</v>
      </c>
      <c r="AI6">
        <f t="shared" ref="AI6:AI23" si="23">AI5+AH6</f>
        <v>0.40090999999999999</v>
      </c>
      <c r="AJ6" s="15">
        <f t="shared" si="15"/>
        <v>-2.1999999999999797E-4</v>
      </c>
      <c r="AK6" s="19">
        <f t="shared" si="16"/>
        <v>2.1999999999999797E-4</v>
      </c>
      <c r="AL6" s="15">
        <v>0.14609</v>
      </c>
      <c r="AM6">
        <f t="shared" ref="AM6:AM23" si="24">AM5+AL6</f>
        <v>0.40094999999999997</v>
      </c>
      <c r="AN6" s="19">
        <f t="shared" si="17"/>
        <v>2.5999999999998247E-4</v>
      </c>
      <c r="AO6">
        <v>0.14599000000000001</v>
      </c>
      <c r="AP6">
        <f t="shared" ref="AP6:AP23" si="25">AP5+AO6</f>
        <v>0.40091000000000004</v>
      </c>
      <c r="AQ6" s="19">
        <f t="shared" si="18"/>
        <v>2.2000000000005349E-4</v>
      </c>
      <c r="AR6" s="15">
        <f t="shared" si="19"/>
        <v>2.1999999999999797E-4</v>
      </c>
      <c r="AS6" s="15">
        <f t="shared" si="20"/>
        <v>-3.9999999999984492E-5</v>
      </c>
    </row>
    <row r="7" spans="1:45" x14ac:dyDescent="0.2">
      <c r="A7" s="17" t="s">
        <v>12</v>
      </c>
      <c r="B7" s="13" t="s">
        <v>93</v>
      </c>
      <c r="C7" s="31">
        <v>0.21299000000000001</v>
      </c>
      <c r="D7" s="13">
        <f t="shared" si="6"/>
        <v>0.61395</v>
      </c>
      <c r="E7" s="31">
        <v>0.21304000000000001</v>
      </c>
      <c r="F7" s="15">
        <f t="shared" si="6"/>
        <v>0.61407</v>
      </c>
      <c r="G7" s="31" t="s">
        <v>149</v>
      </c>
      <c r="H7" s="15">
        <f t="shared" si="6"/>
        <v>0.61401000000000006</v>
      </c>
      <c r="I7" s="15">
        <v>0.21299000000000001</v>
      </c>
      <c r="J7" s="15">
        <f t="shared" si="6"/>
        <v>0.61391000000000007</v>
      </c>
      <c r="K7" s="15">
        <v>0.21321999999999999</v>
      </c>
      <c r="L7" s="15">
        <f t="shared" si="21"/>
        <v>0.61404000000000003</v>
      </c>
      <c r="M7" s="15">
        <v>0.21356</v>
      </c>
      <c r="N7" s="15">
        <f t="shared" si="7"/>
        <v>0.61413000000000006</v>
      </c>
      <c r="O7" s="15">
        <v>0.21349000000000001</v>
      </c>
      <c r="P7" s="15">
        <f t="shared" si="7"/>
        <v>0.61397000000000002</v>
      </c>
      <c r="Q7" s="15">
        <f t="shared" si="8"/>
        <v>-5.9999999999948983E-5</v>
      </c>
      <c r="R7" s="15">
        <f t="shared" si="9"/>
        <v>-1.2999999999996348E-4</v>
      </c>
      <c r="S7" s="15">
        <f t="shared" si="0"/>
        <v>-2.1999999999999797E-4</v>
      </c>
      <c r="T7" s="15">
        <f t="shared" si="10"/>
        <v>-1.2000000000000899E-4</v>
      </c>
      <c r="U7" s="15">
        <f t="shared" si="11"/>
        <v>4.0000000000040004E-5</v>
      </c>
      <c r="V7" s="15">
        <f t="shared" si="1"/>
        <v>9.9999999999988987E-5</v>
      </c>
      <c r="W7" s="15">
        <f t="shared" si="12"/>
        <v>1.6000000000004899E-4</v>
      </c>
      <c r="X7" s="15">
        <f t="shared" si="13"/>
        <v>1.0000000000010001E-4</v>
      </c>
      <c r="Y7" s="15">
        <f t="shared" si="2"/>
        <v>0</v>
      </c>
      <c r="Z7" s="15">
        <f t="shared" si="3"/>
        <v>-4.9999999999883471E-5</v>
      </c>
      <c r="AA7" s="15">
        <f t="shared" si="4"/>
        <v>-8.9999999999923475E-5</v>
      </c>
      <c r="AB7" s="15">
        <f t="shared" si="5"/>
        <v>-1.4999999999987246E-4</v>
      </c>
      <c r="AC7" s="15">
        <v>0.21321999999999999</v>
      </c>
      <c r="AD7" s="15">
        <f t="shared" si="22"/>
        <v>0.61390999999999996</v>
      </c>
      <c r="AE7" s="15">
        <v>0.21326999999999999</v>
      </c>
      <c r="AF7" s="15">
        <f t="shared" si="22"/>
        <v>0.61395999999999995</v>
      </c>
      <c r="AG7" s="19">
        <f t="shared" si="14"/>
        <v>4.9999999999994493E-5</v>
      </c>
      <c r="AH7" s="15">
        <v>0.21309</v>
      </c>
      <c r="AI7">
        <f t="shared" si="23"/>
        <v>0.61399999999999999</v>
      </c>
      <c r="AJ7" s="15">
        <f t="shared" si="15"/>
        <v>-4.0000000000040004E-5</v>
      </c>
      <c r="AK7" s="19">
        <f t="shared" si="16"/>
        <v>9.0000000000034497E-5</v>
      </c>
      <c r="AL7" s="15">
        <v>0.21310999999999999</v>
      </c>
      <c r="AM7">
        <f t="shared" si="24"/>
        <v>0.61405999999999994</v>
      </c>
      <c r="AN7" s="19">
        <f t="shared" si="17"/>
        <v>1.4999999999998348E-4</v>
      </c>
      <c r="AO7">
        <v>0.21337</v>
      </c>
      <c r="AP7">
        <f t="shared" si="25"/>
        <v>0.61428000000000005</v>
      </c>
      <c r="AQ7" s="19">
        <f t="shared" si="18"/>
        <v>3.7000000000009248E-4</v>
      </c>
      <c r="AR7" s="15">
        <f t="shared" si="19"/>
        <v>4.0000000000040004E-5</v>
      </c>
      <c r="AS7" s="15">
        <f t="shared" si="20"/>
        <v>-5.9999999999948983E-5</v>
      </c>
    </row>
    <row r="8" spans="1:45" x14ac:dyDescent="0.2">
      <c r="A8" s="17" t="s">
        <v>13</v>
      </c>
      <c r="B8" s="13" t="s">
        <v>94</v>
      </c>
      <c r="C8" s="31">
        <v>0.18615000000000001</v>
      </c>
      <c r="D8" s="13">
        <f t="shared" si="6"/>
        <v>0.80010000000000003</v>
      </c>
      <c r="E8" s="31">
        <v>0.18614</v>
      </c>
      <c r="F8" s="15">
        <f t="shared" si="6"/>
        <v>0.80020999999999998</v>
      </c>
      <c r="G8" s="31" t="s">
        <v>150</v>
      </c>
      <c r="H8" s="15">
        <f t="shared" si="6"/>
        <v>0.80014000000000007</v>
      </c>
      <c r="I8" s="15">
        <v>0.18623000000000001</v>
      </c>
      <c r="J8" s="15">
        <f t="shared" si="6"/>
        <v>0.80014000000000007</v>
      </c>
      <c r="K8" s="15">
        <v>0.1862</v>
      </c>
      <c r="L8" s="15">
        <f t="shared" si="21"/>
        <v>0.80024000000000006</v>
      </c>
      <c r="M8" s="15">
        <v>0.18589</v>
      </c>
      <c r="N8" s="15">
        <f t="shared" si="7"/>
        <v>0.80002000000000006</v>
      </c>
      <c r="O8" s="15">
        <v>0.18617</v>
      </c>
      <c r="P8" s="15">
        <f t="shared" si="7"/>
        <v>0.80014000000000007</v>
      </c>
      <c r="Q8" s="15">
        <f t="shared" si="8"/>
        <v>0</v>
      </c>
      <c r="R8" s="15">
        <f t="shared" si="9"/>
        <v>-9.9999999999988987E-5</v>
      </c>
      <c r="S8" s="15">
        <f t="shared" si="0"/>
        <v>1.2000000000000899E-4</v>
      </c>
      <c r="T8" s="15">
        <f t="shared" si="10"/>
        <v>-1.0999999999994348E-4</v>
      </c>
      <c r="U8" s="15">
        <f t="shared" si="11"/>
        <v>3.0000000000085514E-5</v>
      </c>
      <c r="V8" s="15">
        <f t="shared" si="1"/>
        <v>0</v>
      </c>
      <c r="W8" s="15">
        <f t="shared" si="12"/>
        <v>1.4000000000002899E-4</v>
      </c>
      <c r="X8" s="15">
        <f t="shared" si="13"/>
        <v>7.0000000000125517E-5</v>
      </c>
      <c r="Y8" s="15">
        <f t="shared" si="2"/>
        <v>7.0000000000125517E-5</v>
      </c>
      <c r="Z8" s="15">
        <f t="shared" si="3"/>
        <v>-4.9999999999883471E-5</v>
      </c>
      <c r="AA8" s="15">
        <f t="shared" si="4"/>
        <v>2.0000000000131024E-5</v>
      </c>
      <c r="AB8" s="15">
        <f t="shared" si="5"/>
        <v>1.0000000000065512E-5</v>
      </c>
      <c r="AC8" s="15">
        <v>0.18615999999999999</v>
      </c>
      <c r="AD8" s="15">
        <f t="shared" si="22"/>
        <v>0.80006999999999995</v>
      </c>
      <c r="AE8" s="15">
        <v>0.18623000000000001</v>
      </c>
      <c r="AF8" s="15">
        <f t="shared" si="22"/>
        <v>0.80018999999999996</v>
      </c>
      <c r="AG8" s="19">
        <f t="shared" si="14"/>
        <v>1.2000000000000899E-4</v>
      </c>
      <c r="AH8" s="15">
        <v>0.18612000000000001</v>
      </c>
      <c r="AI8">
        <f t="shared" si="23"/>
        <v>0.80011999999999994</v>
      </c>
      <c r="AJ8" s="15">
        <f t="shared" si="15"/>
        <v>7.0000000000014495E-5</v>
      </c>
      <c r="AK8" s="19">
        <f t="shared" si="16"/>
        <v>4.9999999999994493E-5</v>
      </c>
      <c r="AL8" s="15">
        <v>0.18607000000000001</v>
      </c>
      <c r="AM8">
        <f t="shared" si="24"/>
        <v>0.80013000000000001</v>
      </c>
      <c r="AN8" s="19">
        <f t="shared" si="17"/>
        <v>6.0000000000060005E-5</v>
      </c>
      <c r="AO8">
        <v>0.18595999999999999</v>
      </c>
      <c r="AP8">
        <f t="shared" si="25"/>
        <v>0.80024000000000006</v>
      </c>
      <c r="AQ8" s="19">
        <f t="shared" si="18"/>
        <v>1.700000000001145E-4</v>
      </c>
      <c r="AR8" s="15">
        <f t="shared" si="19"/>
        <v>-7.0000000000014495E-5</v>
      </c>
      <c r="AS8" s="15">
        <f t="shared" si="20"/>
        <v>-1.0000000000065512E-5</v>
      </c>
    </row>
    <row r="9" spans="1:45" x14ac:dyDescent="0.2">
      <c r="A9" s="17" t="s">
        <v>14</v>
      </c>
      <c r="B9" s="13" t="s">
        <v>95</v>
      </c>
      <c r="C9" s="31">
        <v>0.19972999999999999</v>
      </c>
      <c r="D9" s="13">
        <f t="shared" si="6"/>
        <v>0.99983</v>
      </c>
      <c r="E9" s="31">
        <v>0.19975999999999999</v>
      </c>
      <c r="F9" s="15">
        <f t="shared" si="6"/>
        <v>0.99997000000000003</v>
      </c>
      <c r="G9" s="31">
        <v>0.19979</v>
      </c>
      <c r="H9" s="15">
        <f t="shared" si="6"/>
        <v>0.9999300000000001</v>
      </c>
      <c r="I9" s="15">
        <v>0.19975000000000001</v>
      </c>
      <c r="J9" s="15">
        <f t="shared" si="6"/>
        <v>0.99989000000000006</v>
      </c>
      <c r="K9" s="15">
        <v>0.19964999999999999</v>
      </c>
      <c r="L9" s="15">
        <f t="shared" si="21"/>
        <v>0.99989000000000006</v>
      </c>
      <c r="M9" s="15">
        <v>0.19974</v>
      </c>
      <c r="N9" s="15">
        <f t="shared" si="7"/>
        <v>0.99976000000000009</v>
      </c>
      <c r="O9" s="15">
        <v>0.19980999999999999</v>
      </c>
      <c r="P9" s="15">
        <f t="shared" si="7"/>
        <v>0.99995000000000012</v>
      </c>
      <c r="Q9" s="15">
        <f t="shared" si="8"/>
        <v>-6.0000000000060005E-5</v>
      </c>
      <c r="R9" s="15">
        <f t="shared" si="9"/>
        <v>0</v>
      </c>
      <c r="S9" s="15">
        <f t="shared" si="0"/>
        <v>1.2999999999996348E-4</v>
      </c>
      <c r="T9" s="15">
        <f t="shared" si="10"/>
        <v>-1.4000000000002899E-4</v>
      </c>
      <c r="U9" s="15">
        <f t="shared" si="11"/>
        <v>5.0000000000105516E-5</v>
      </c>
      <c r="V9" s="15">
        <f t="shared" si="1"/>
        <v>4.0000000000040004E-5</v>
      </c>
      <c r="W9" s="15">
        <f t="shared" si="12"/>
        <v>1.9000000000013451E-4</v>
      </c>
      <c r="X9" s="15">
        <f t="shared" si="13"/>
        <v>1.5000000000020552E-4</v>
      </c>
      <c r="Y9" s="15">
        <f t="shared" si="2"/>
        <v>1.1000000000016552E-4</v>
      </c>
      <c r="Z9" s="15">
        <f t="shared" si="3"/>
        <v>-3.9999999999928981E-5</v>
      </c>
      <c r="AA9" s="15">
        <f t="shared" si="4"/>
        <v>6.0000000000060005E-5</v>
      </c>
      <c r="AB9" s="15">
        <f t="shared" si="5"/>
        <v>3.0000000000085514E-5</v>
      </c>
      <c r="AC9" s="15">
        <v>0.19971</v>
      </c>
      <c r="AD9" s="15">
        <f t="shared" si="22"/>
        <v>0.99977999999999989</v>
      </c>
      <c r="AE9" s="15">
        <v>0.19974</v>
      </c>
      <c r="AF9" s="15">
        <f t="shared" si="22"/>
        <v>0.99992999999999999</v>
      </c>
      <c r="AG9" s="19">
        <f t="shared" si="14"/>
        <v>1.500000000000945E-4</v>
      </c>
      <c r="AH9" s="15">
        <v>0.19971</v>
      </c>
      <c r="AI9">
        <f t="shared" si="23"/>
        <v>0.99983</v>
      </c>
      <c r="AJ9" s="15">
        <f t="shared" si="15"/>
        <v>9.9999999999988987E-5</v>
      </c>
      <c r="AK9" s="19">
        <f t="shared" si="16"/>
        <v>5.0000000000105516E-5</v>
      </c>
      <c r="AL9" s="15">
        <v>0.19972999999999999</v>
      </c>
      <c r="AM9">
        <f t="shared" si="24"/>
        <v>0.99985999999999997</v>
      </c>
      <c r="AN9" s="19">
        <f t="shared" si="17"/>
        <v>8.0000000000080007E-5</v>
      </c>
      <c r="AO9">
        <v>0.19978000000000001</v>
      </c>
      <c r="AP9">
        <f t="shared" si="25"/>
        <v>1.0000200000000001</v>
      </c>
      <c r="AQ9" s="19">
        <f t="shared" si="18"/>
        <v>2.4000000000024002E-4</v>
      </c>
      <c r="AR9" s="15">
        <f t="shared" si="19"/>
        <v>-9.9999999999988987E-5</v>
      </c>
      <c r="AS9" s="15">
        <f t="shared" si="20"/>
        <v>-2.9999999999974492E-5</v>
      </c>
    </row>
    <row r="10" spans="1:45" x14ac:dyDescent="0.2">
      <c r="A10" s="17" t="s">
        <v>15</v>
      </c>
      <c r="B10" s="13" t="s">
        <v>96</v>
      </c>
      <c r="C10" s="31">
        <v>0.20505999999999999</v>
      </c>
      <c r="D10" s="13">
        <f t="shared" si="6"/>
        <v>1.20489</v>
      </c>
      <c r="E10" s="31">
        <v>0.20499000000000001</v>
      </c>
      <c r="F10" s="15">
        <f t="shared" si="6"/>
        <v>1.20496</v>
      </c>
      <c r="G10" s="31">
        <v>0.20498</v>
      </c>
      <c r="H10" s="15">
        <f t="shared" si="6"/>
        <v>1.2049100000000001</v>
      </c>
      <c r="I10" s="15">
        <v>0.20505000000000001</v>
      </c>
      <c r="J10" s="15">
        <f t="shared" si="6"/>
        <v>1.2049400000000001</v>
      </c>
      <c r="K10" s="15">
        <v>0.20513999999999999</v>
      </c>
      <c r="L10" s="15">
        <f t="shared" si="21"/>
        <v>1.20503</v>
      </c>
      <c r="M10" s="15">
        <v>0.20510999999999999</v>
      </c>
      <c r="N10" s="15">
        <f t="shared" si="7"/>
        <v>1.2048700000000001</v>
      </c>
      <c r="O10" s="15">
        <v>0.20502000000000001</v>
      </c>
      <c r="P10" s="15">
        <f t="shared" si="7"/>
        <v>1.2049700000000001</v>
      </c>
      <c r="Q10" s="15">
        <f t="shared" si="8"/>
        <v>-2.9999999999974492E-5</v>
      </c>
      <c r="R10" s="15">
        <f t="shared" si="9"/>
        <v>-8.9999999999923475E-5</v>
      </c>
      <c r="S10" s="15">
        <f t="shared" si="0"/>
        <v>7.0000000000014495E-5</v>
      </c>
      <c r="T10" s="15">
        <f t="shared" si="10"/>
        <v>-7.0000000000014495E-5</v>
      </c>
      <c r="U10" s="15">
        <f t="shared" si="11"/>
        <v>1.500000000000945E-4</v>
      </c>
      <c r="V10" s="15">
        <f t="shared" si="1"/>
        <v>-2.9999999999974492E-5</v>
      </c>
      <c r="W10" s="15">
        <f t="shared" si="12"/>
        <v>2.20000000000109E-4</v>
      </c>
      <c r="X10" s="15">
        <f t="shared" si="13"/>
        <v>1.7000000000022553E-4</v>
      </c>
      <c r="Y10" s="15">
        <f t="shared" si="2"/>
        <v>2.0000000000020002E-4</v>
      </c>
      <c r="Z10" s="15">
        <f t="shared" si="3"/>
        <v>5.0000000000105516E-5</v>
      </c>
      <c r="AA10" s="15">
        <f t="shared" si="4"/>
        <v>1.100000000000545E-4</v>
      </c>
      <c r="AB10" s="15">
        <f t="shared" si="5"/>
        <v>4.0000000000262048E-5</v>
      </c>
      <c r="AC10" s="15">
        <v>0.20496</v>
      </c>
      <c r="AD10" s="15">
        <f t="shared" si="22"/>
        <v>1.2047399999999999</v>
      </c>
      <c r="AE10" s="15">
        <v>0.20496</v>
      </c>
      <c r="AF10" s="15">
        <f t="shared" si="22"/>
        <v>1.20489</v>
      </c>
      <c r="AG10" s="19">
        <f t="shared" si="14"/>
        <v>1.500000000000945E-4</v>
      </c>
      <c r="AH10" s="15">
        <v>0.20499999999999999</v>
      </c>
      <c r="AI10">
        <f t="shared" si="23"/>
        <v>1.2048300000000001</v>
      </c>
      <c r="AJ10" s="15">
        <f t="shared" si="15"/>
        <v>5.9999999999948983E-5</v>
      </c>
      <c r="AK10" s="19">
        <f t="shared" si="16"/>
        <v>9.0000000000145519E-5</v>
      </c>
      <c r="AL10" s="15">
        <v>0.20504</v>
      </c>
      <c r="AM10">
        <f t="shared" si="24"/>
        <v>1.2048999999999999</v>
      </c>
      <c r="AN10" s="19">
        <f t="shared" si="17"/>
        <v>1.5999999999993797E-4</v>
      </c>
      <c r="AO10">
        <v>0.20502999999999999</v>
      </c>
      <c r="AP10">
        <f t="shared" si="25"/>
        <v>1.2050500000000002</v>
      </c>
      <c r="AQ10" s="19">
        <f t="shared" si="18"/>
        <v>3.1000000000025452E-4</v>
      </c>
      <c r="AR10" s="15">
        <f t="shared" si="19"/>
        <v>-5.9999999999948983E-5</v>
      </c>
      <c r="AS10" s="15">
        <f t="shared" si="20"/>
        <v>-6.999999999979245E-5</v>
      </c>
    </row>
    <row r="11" spans="1:45" x14ac:dyDescent="0.2">
      <c r="A11" s="17" t="s">
        <v>16</v>
      </c>
      <c r="B11" s="13" t="s">
        <v>97</v>
      </c>
      <c r="C11" s="31">
        <v>0.24687999999999999</v>
      </c>
      <c r="D11" s="13">
        <f t="shared" si="6"/>
        <v>1.45177</v>
      </c>
      <c r="E11" s="31">
        <v>0.24693000000000001</v>
      </c>
      <c r="F11" s="15">
        <f t="shared" si="6"/>
        <v>1.4518900000000001</v>
      </c>
      <c r="G11" s="31">
        <v>0.24692</v>
      </c>
      <c r="H11" s="15">
        <f t="shared" si="6"/>
        <v>1.4518300000000002</v>
      </c>
      <c r="I11" s="15">
        <v>0.24686</v>
      </c>
      <c r="J11" s="15">
        <f t="shared" si="6"/>
        <v>1.4518000000000002</v>
      </c>
      <c r="K11" s="15">
        <v>0.24689</v>
      </c>
      <c r="L11" s="15">
        <f t="shared" si="21"/>
        <v>1.4519200000000001</v>
      </c>
      <c r="M11" s="15">
        <v>0.24709</v>
      </c>
      <c r="N11" s="15">
        <f t="shared" si="7"/>
        <v>1.4519600000000001</v>
      </c>
      <c r="O11" s="15">
        <v>0.24684</v>
      </c>
      <c r="P11" s="15">
        <f t="shared" si="7"/>
        <v>1.45181</v>
      </c>
      <c r="Q11" s="15">
        <f t="shared" si="8"/>
        <v>-9.9999999998434674E-6</v>
      </c>
      <c r="R11" s="15">
        <f t="shared" si="9"/>
        <v>-1.1999999999989797E-4</v>
      </c>
      <c r="S11" s="15">
        <f t="shared" si="0"/>
        <v>-1.5999999999993797E-4</v>
      </c>
      <c r="T11" s="15">
        <f t="shared" si="10"/>
        <v>-1.2000000000012001E-4</v>
      </c>
      <c r="U11" s="15">
        <f t="shared" si="11"/>
        <v>1.4000000000002899E-4</v>
      </c>
      <c r="V11" s="15">
        <f t="shared" si="1"/>
        <v>2.9999999999974492E-5</v>
      </c>
      <c r="W11" s="15">
        <f t="shared" si="12"/>
        <v>2.60000000000149E-4</v>
      </c>
      <c r="X11" s="15">
        <f t="shared" si="13"/>
        <v>2.0000000000020002E-4</v>
      </c>
      <c r="Y11" s="15">
        <f t="shared" si="2"/>
        <v>1.7000000000022553E-4</v>
      </c>
      <c r="Z11" s="15">
        <f t="shared" si="3"/>
        <v>-3.9999999999817959E-5</v>
      </c>
      <c r="AA11" s="15">
        <f t="shared" si="4"/>
        <v>3.0000000000196536E-5</v>
      </c>
      <c r="AB11" s="15">
        <f t="shared" si="5"/>
        <v>0</v>
      </c>
      <c r="AC11" s="15">
        <v>0.24689</v>
      </c>
      <c r="AD11" s="15">
        <f t="shared" si="22"/>
        <v>1.45163</v>
      </c>
      <c r="AE11" s="15">
        <v>0.24695</v>
      </c>
      <c r="AF11" s="15">
        <f t="shared" si="22"/>
        <v>1.45184</v>
      </c>
      <c r="AG11" s="19">
        <f t="shared" si="14"/>
        <v>2.1000000000004349E-4</v>
      </c>
      <c r="AH11" s="15">
        <v>0.24693999999999999</v>
      </c>
      <c r="AI11">
        <f t="shared" si="23"/>
        <v>1.45177</v>
      </c>
      <c r="AJ11" s="15">
        <f t="shared" si="15"/>
        <v>7.0000000000014495E-5</v>
      </c>
      <c r="AK11" s="19">
        <f t="shared" si="16"/>
        <v>1.4000000000002899E-4</v>
      </c>
      <c r="AL11" s="15">
        <v>0.24690000000000001</v>
      </c>
      <c r="AM11">
        <f t="shared" si="24"/>
        <v>1.4518</v>
      </c>
      <c r="AN11" s="19">
        <f t="shared" si="17"/>
        <v>1.7000000000000348E-4</v>
      </c>
      <c r="AO11">
        <v>0.24689</v>
      </c>
      <c r="AP11">
        <f t="shared" si="25"/>
        <v>1.4519400000000002</v>
      </c>
      <c r="AQ11" s="19">
        <f t="shared" si="18"/>
        <v>3.1000000000025452E-4</v>
      </c>
      <c r="AR11" s="15">
        <f t="shared" si="19"/>
        <v>-7.0000000000014495E-5</v>
      </c>
      <c r="AS11" s="15">
        <f t="shared" si="20"/>
        <v>-2.9999999999974492E-5</v>
      </c>
    </row>
    <row r="12" spans="1:45" x14ac:dyDescent="0.2">
      <c r="A12" s="17" t="s">
        <v>17</v>
      </c>
      <c r="B12" s="13" t="s">
        <v>98</v>
      </c>
      <c r="C12" s="31">
        <v>0.26766000000000001</v>
      </c>
      <c r="D12" s="13">
        <f t="shared" si="6"/>
        <v>1.71943</v>
      </c>
      <c r="E12" s="31">
        <v>0.26762999999999998</v>
      </c>
      <c r="F12" s="15">
        <f t="shared" si="6"/>
        <v>1.7195200000000002</v>
      </c>
      <c r="G12" s="31">
        <v>0.26766000000000001</v>
      </c>
      <c r="H12" s="15">
        <f t="shared" si="6"/>
        <v>1.7194900000000002</v>
      </c>
      <c r="I12" s="15">
        <v>0.26756999999999997</v>
      </c>
      <c r="J12" s="15">
        <f t="shared" si="6"/>
        <v>1.7193700000000001</v>
      </c>
      <c r="K12" s="15">
        <v>0.26769999999999999</v>
      </c>
      <c r="L12" s="15">
        <f t="shared" si="21"/>
        <v>1.7196200000000001</v>
      </c>
      <c r="M12" s="15">
        <v>0.26740000000000003</v>
      </c>
      <c r="N12" s="15">
        <f t="shared" si="7"/>
        <v>1.7193600000000002</v>
      </c>
      <c r="O12" s="15">
        <v>0.26767000000000002</v>
      </c>
      <c r="P12" s="15">
        <f t="shared" si="7"/>
        <v>1.7194800000000001</v>
      </c>
      <c r="Q12" s="15">
        <f t="shared" si="8"/>
        <v>-1.100000000000545E-4</v>
      </c>
      <c r="R12" s="15">
        <f t="shared" si="9"/>
        <v>-2.5000000000008349E-4</v>
      </c>
      <c r="S12" s="15">
        <f t="shared" si="0"/>
        <v>9.9999999998434674E-6</v>
      </c>
      <c r="T12" s="15">
        <f t="shared" si="10"/>
        <v>-9.0000000000145519E-5</v>
      </c>
      <c r="U12" s="15">
        <f t="shared" si="11"/>
        <v>2.1000000000004349E-4</v>
      </c>
      <c r="V12" s="15">
        <f t="shared" si="1"/>
        <v>1.2000000000012001E-4</v>
      </c>
      <c r="W12" s="15">
        <f t="shared" si="12"/>
        <v>3.00000000000189E-4</v>
      </c>
      <c r="X12" s="15">
        <f t="shared" si="13"/>
        <v>2.7000000000021451E-4</v>
      </c>
      <c r="Y12" s="15">
        <f t="shared" si="2"/>
        <v>1.500000000000945E-4</v>
      </c>
      <c r="Z12" s="15">
        <f t="shared" si="3"/>
        <v>-1.1999999999989797E-4</v>
      </c>
      <c r="AA12" s="15">
        <f t="shared" si="4"/>
        <v>1.0000000000065512E-5</v>
      </c>
      <c r="AB12" s="15">
        <f t="shared" si="5"/>
        <v>-5.9999999999948983E-5</v>
      </c>
      <c r="AC12" s="15">
        <v>0.26758999999999999</v>
      </c>
      <c r="AD12" s="15">
        <f t="shared" si="22"/>
        <v>1.71922</v>
      </c>
      <c r="AE12" s="15">
        <v>0.26765</v>
      </c>
      <c r="AF12" s="15">
        <f t="shared" si="22"/>
        <v>1.71949</v>
      </c>
      <c r="AG12" s="19">
        <f t="shared" si="14"/>
        <v>2.6999999999999247E-4</v>
      </c>
      <c r="AH12" s="15">
        <v>0.26758999999999999</v>
      </c>
      <c r="AI12">
        <f t="shared" si="23"/>
        <v>1.71936</v>
      </c>
      <c r="AJ12" s="15">
        <f t="shared" si="15"/>
        <v>1.2999999999996348E-4</v>
      </c>
      <c r="AK12" s="19">
        <f t="shared" si="16"/>
        <v>1.4000000000002899E-4</v>
      </c>
      <c r="AL12" s="15">
        <v>0.26762999999999998</v>
      </c>
      <c r="AM12">
        <f t="shared" si="24"/>
        <v>1.71943</v>
      </c>
      <c r="AN12" s="19">
        <f t="shared" si="17"/>
        <v>2.1000000000004349E-4</v>
      </c>
      <c r="AO12">
        <v>0.2676</v>
      </c>
      <c r="AP12">
        <f t="shared" si="25"/>
        <v>1.7195400000000003</v>
      </c>
      <c r="AQ12" s="19">
        <f t="shared" si="18"/>
        <v>3.2000000000032003E-4</v>
      </c>
      <c r="AR12" s="15">
        <f t="shared" si="19"/>
        <v>-1.2999999999996348E-4</v>
      </c>
      <c r="AS12" s="15">
        <f t="shared" si="20"/>
        <v>-7.0000000000014495E-5</v>
      </c>
    </row>
    <row r="13" spans="1:45" x14ac:dyDescent="0.2">
      <c r="A13" s="17" t="s">
        <v>18</v>
      </c>
      <c r="B13" s="13" t="s">
        <v>99</v>
      </c>
      <c r="C13" s="31">
        <v>0.33302999999999999</v>
      </c>
      <c r="D13" s="13">
        <f t="shared" si="6"/>
        <v>2.05246</v>
      </c>
      <c r="E13" s="31">
        <v>0.33306000000000002</v>
      </c>
      <c r="F13" s="15">
        <f t="shared" si="6"/>
        <v>2.0525800000000003</v>
      </c>
      <c r="G13" s="31">
        <v>0.33306000000000002</v>
      </c>
      <c r="H13" s="15">
        <f t="shared" si="6"/>
        <v>2.0525500000000001</v>
      </c>
      <c r="I13" s="15">
        <v>0.33312000000000003</v>
      </c>
      <c r="J13" s="15">
        <f t="shared" si="6"/>
        <v>2.0524900000000001</v>
      </c>
      <c r="K13" s="15">
        <v>0.33306000000000002</v>
      </c>
      <c r="L13" s="15">
        <f t="shared" si="21"/>
        <v>2.0526800000000001</v>
      </c>
      <c r="M13" s="15">
        <v>0.33322000000000002</v>
      </c>
      <c r="N13" s="15">
        <f t="shared" si="7"/>
        <v>2.0525800000000003</v>
      </c>
      <c r="O13" s="15">
        <v>0.33304</v>
      </c>
      <c r="P13" s="15">
        <f t="shared" si="7"/>
        <v>2.0525200000000003</v>
      </c>
      <c r="Q13" s="15">
        <f t="shared" si="8"/>
        <v>-3.0000000000196536E-5</v>
      </c>
      <c r="R13" s="15">
        <f t="shared" si="9"/>
        <v>-1.8999999999991246E-4</v>
      </c>
      <c r="S13" s="15">
        <f t="shared" si="0"/>
        <v>-9.0000000000145519E-5</v>
      </c>
      <c r="T13" s="15">
        <f t="shared" si="10"/>
        <v>-1.2000000000034206E-4</v>
      </c>
      <c r="U13" s="15">
        <f t="shared" si="11"/>
        <v>1.6000000000016001E-4</v>
      </c>
      <c r="V13" s="15">
        <f t="shared" si="1"/>
        <v>5.9999999999948983E-5</v>
      </c>
      <c r="W13" s="15">
        <f t="shared" si="12"/>
        <v>2.8000000000050207E-4</v>
      </c>
      <c r="X13" s="15">
        <f t="shared" si="13"/>
        <v>2.5000000000030553E-4</v>
      </c>
      <c r="Y13" s="15">
        <f t="shared" si="2"/>
        <v>1.9000000000035655E-4</v>
      </c>
      <c r="Z13" s="15">
        <f t="shared" si="3"/>
        <v>-4.9999999999883471E-5</v>
      </c>
      <c r="AA13" s="15">
        <f t="shared" si="4"/>
        <v>5.000000000032756E-5</v>
      </c>
      <c r="AB13" s="15">
        <f t="shared" si="5"/>
        <v>-7.0000000000014495E-5</v>
      </c>
      <c r="AC13" s="15">
        <v>0.33307999999999999</v>
      </c>
      <c r="AD13" s="15">
        <f t="shared" si="22"/>
        <v>2.0522999999999998</v>
      </c>
      <c r="AE13" s="15">
        <v>0.33305000000000001</v>
      </c>
      <c r="AF13" s="15">
        <f t="shared" si="22"/>
        <v>2.05254</v>
      </c>
      <c r="AG13" s="19">
        <f t="shared" si="14"/>
        <v>2.4000000000024002E-4</v>
      </c>
      <c r="AH13" s="15">
        <v>0.33307999999999999</v>
      </c>
      <c r="AI13">
        <f t="shared" si="23"/>
        <v>2.0524399999999998</v>
      </c>
      <c r="AJ13" s="15">
        <f t="shared" si="15"/>
        <v>1.0000000000021103E-4</v>
      </c>
      <c r="AK13" s="19">
        <f t="shared" si="16"/>
        <v>1.4000000000002899E-4</v>
      </c>
      <c r="AL13" s="15">
        <v>0.33312999999999998</v>
      </c>
      <c r="AM13">
        <f t="shared" si="24"/>
        <v>2.0525600000000002</v>
      </c>
      <c r="AN13" s="19">
        <f t="shared" si="17"/>
        <v>2.6000000000037105E-4</v>
      </c>
      <c r="AO13">
        <v>0.33310000000000001</v>
      </c>
      <c r="AP13">
        <f t="shared" si="25"/>
        <v>2.0526400000000002</v>
      </c>
      <c r="AQ13" s="19">
        <f t="shared" si="18"/>
        <v>3.4000000000045105E-4</v>
      </c>
      <c r="AR13" s="15">
        <f t="shared" si="19"/>
        <v>-1.0000000000021103E-4</v>
      </c>
      <c r="AS13" s="15">
        <f t="shared" si="20"/>
        <v>-1.2000000000034206E-4</v>
      </c>
    </row>
    <row r="14" spans="1:45" x14ac:dyDescent="0.2">
      <c r="A14" s="17" t="s">
        <v>19</v>
      </c>
      <c r="B14" s="13" t="s">
        <v>100</v>
      </c>
      <c r="C14" s="31">
        <v>0.26386999999999999</v>
      </c>
      <c r="D14" s="13">
        <f t="shared" si="6"/>
        <v>2.3163299999999998</v>
      </c>
      <c r="E14" s="31">
        <v>0.26386999999999999</v>
      </c>
      <c r="F14" s="15">
        <f t="shared" si="6"/>
        <v>2.3164500000000001</v>
      </c>
      <c r="G14" s="31">
        <v>0.26386999999999999</v>
      </c>
      <c r="H14" s="15">
        <f t="shared" si="6"/>
        <v>2.3164199999999999</v>
      </c>
      <c r="I14" s="15">
        <v>0.26386999999999999</v>
      </c>
      <c r="J14" s="15">
        <f t="shared" si="6"/>
        <v>2.31636</v>
      </c>
      <c r="K14" s="15">
        <v>0.26384000000000002</v>
      </c>
      <c r="L14" s="15">
        <f t="shared" si="21"/>
        <v>2.3165200000000001</v>
      </c>
      <c r="M14" s="15">
        <v>0.26404</v>
      </c>
      <c r="N14" s="15">
        <f t="shared" si="7"/>
        <v>2.3166200000000003</v>
      </c>
      <c r="O14" s="15">
        <v>0.26375999999999999</v>
      </c>
      <c r="P14" s="15">
        <f t="shared" si="7"/>
        <v>2.3162800000000003</v>
      </c>
      <c r="Q14" s="15">
        <f t="shared" si="8"/>
        <v>7.9999999999635918E-5</v>
      </c>
      <c r="R14" s="15">
        <f t="shared" si="9"/>
        <v>-1.6000000000016001E-4</v>
      </c>
      <c r="S14" s="15">
        <f t="shared" si="0"/>
        <v>-2.6000000000037105E-4</v>
      </c>
      <c r="T14" s="15">
        <f t="shared" si="10"/>
        <v>-1.2000000000034206E-4</v>
      </c>
      <c r="U14" s="15">
        <f t="shared" si="11"/>
        <v>2.3000000000017451E-4</v>
      </c>
      <c r="V14" s="15">
        <f t="shared" si="1"/>
        <v>5.9999999999948983E-5</v>
      </c>
      <c r="W14" s="15">
        <f t="shared" si="12"/>
        <v>3.5000000000051656E-4</v>
      </c>
      <c r="X14" s="15">
        <f t="shared" si="13"/>
        <v>3.2000000000032003E-4</v>
      </c>
      <c r="Y14" s="15">
        <f t="shared" si="2"/>
        <v>2.6000000000037105E-4</v>
      </c>
      <c r="Z14" s="15">
        <f t="shared" si="3"/>
        <v>-2.0000000000131024E-5</v>
      </c>
      <c r="AA14" s="15">
        <f t="shared" si="4"/>
        <v>8.0000000000080007E-5</v>
      </c>
      <c r="AB14" s="15">
        <f t="shared" si="5"/>
        <v>-2.0000000000131024E-5</v>
      </c>
      <c r="AC14" s="15">
        <v>0.26379999999999998</v>
      </c>
      <c r="AD14" s="15">
        <f t="shared" si="22"/>
        <v>2.3160999999999996</v>
      </c>
      <c r="AE14" s="15">
        <v>0.26384000000000002</v>
      </c>
      <c r="AF14" s="15">
        <f t="shared" si="22"/>
        <v>2.3163800000000001</v>
      </c>
      <c r="AG14" s="19">
        <f t="shared" si="14"/>
        <v>2.8000000000050207E-4</v>
      </c>
      <c r="AH14" s="15">
        <v>0.26384000000000002</v>
      </c>
      <c r="AI14">
        <f t="shared" si="23"/>
        <v>2.3162799999999999</v>
      </c>
      <c r="AJ14" s="15">
        <f t="shared" si="15"/>
        <v>1.0000000000021103E-4</v>
      </c>
      <c r="AK14" s="19">
        <f t="shared" si="16"/>
        <v>1.8000000000029104E-4</v>
      </c>
      <c r="AL14" s="15">
        <v>0.26382</v>
      </c>
      <c r="AM14">
        <f t="shared" si="24"/>
        <v>2.3163800000000001</v>
      </c>
      <c r="AN14" s="19">
        <f t="shared" si="17"/>
        <v>2.8000000000050207E-4</v>
      </c>
      <c r="AO14">
        <v>0.26385999999999998</v>
      </c>
      <c r="AP14">
        <f t="shared" si="25"/>
        <v>2.3165000000000004</v>
      </c>
      <c r="AQ14" s="19">
        <f t="shared" si="18"/>
        <v>4.0000000000084412E-4</v>
      </c>
      <c r="AR14" s="15">
        <f t="shared" si="19"/>
        <v>-1.0000000000021103E-4</v>
      </c>
      <c r="AS14" s="15">
        <f t="shared" si="20"/>
        <v>-1.0000000000021103E-4</v>
      </c>
    </row>
    <row r="15" spans="1:45" x14ac:dyDescent="0.2">
      <c r="A15" s="17" t="s">
        <v>20</v>
      </c>
      <c r="B15" s="13" t="s">
        <v>101</v>
      </c>
      <c r="C15" s="31">
        <v>0.12570000000000001</v>
      </c>
      <c r="D15" s="13">
        <f t="shared" si="6"/>
        <v>2.4420299999999999</v>
      </c>
      <c r="E15" s="31">
        <v>0.12569</v>
      </c>
      <c r="F15" s="15">
        <f t="shared" si="6"/>
        <v>2.4421400000000002</v>
      </c>
      <c r="G15" s="31">
        <v>0.12570999999999999</v>
      </c>
      <c r="H15" s="15">
        <f t="shared" si="6"/>
        <v>2.4421299999999997</v>
      </c>
      <c r="I15" s="15">
        <v>0.12570000000000001</v>
      </c>
      <c r="J15" s="15">
        <f t="shared" si="6"/>
        <v>2.4420600000000001</v>
      </c>
      <c r="K15" s="15">
        <v>0.12565999999999999</v>
      </c>
      <c r="L15" s="15">
        <f t="shared" si="21"/>
        <v>2.44218</v>
      </c>
      <c r="M15" s="15">
        <v>0.12579000000000001</v>
      </c>
      <c r="N15" s="15">
        <f t="shared" si="7"/>
        <v>2.4424100000000002</v>
      </c>
      <c r="O15" s="15">
        <v>0.12567999999999999</v>
      </c>
      <c r="P15" s="15">
        <f t="shared" si="7"/>
        <v>2.4419600000000004</v>
      </c>
      <c r="Q15" s="15">
        <f t="shared" si="8"/>
        <v>9.9999999999766942E-5</v>
      </c>
      <c r="R15" s="15">
        <f t="shared" si="9"/>
        <v>-1.1999999999989797E-4</v>
      </c>
      <c r="S15" s="15">
        <f t="shared" si="0"/>
        <v>-3.5000000000007248E-4</v>
      </c>
      <c r="T15" s="15">
        <f t="shared" si="10"/>
        <v>-1.1000000000027654E-4</v>
      </c>
      <c r="U15" s="15">
        <f t="shared" si="11"/>
        <v>2.4000000000024002E-4</v>
      </c>
      <c r="V15" s="15">
        <f t="shared" si="1"/>
        <v>6.9999999999570406E-5</v>
      </c>
      <c r="W15" s="15">
        <f t="shared" si="12"/>
        <v>3.5000000000051656E-4</v>
      </c>
      <c r="X15" s="15">
        <f t="shared" si="13"/>
        <v>3.4000000000000696E-4</v>
      </c>
      <c r="Y15" s="15">
        <f t="shared" si="2"/>
        <v>2.7000000000043656E-4</v>
      </c>
      <c r="Z15" s="15">
        <f t="shared" si="3"/>
        <v>1.7999999999984695E-4</v>
      </c>
      <c r="AA15" s="15">
        <f t="shared" si="4"/>
        <v>3.5000000000007248E-4</v>
      </c>
      <c r="AB15" s="15">
        <f t="shared" si="5"/>
        <v>2.20000000000109E-4</v>
      </c>
      <c r="AC15" s="15">
        <v>0.12569</v>
      </c>
      <c r="AD15" s="15">
        <f t="shared" si="22"/>
        <v>2.4417899999999997</v>
      </c>
      <c r="AE15" s="15">
        <v>0.1255</v>
      </c>
      <c r="AF15" s="15">
        <f t="shared" si="22"/>
        <v>2.4418800000000003</v>
      </c>
      <c r="AG15" s="19">
        <f t="shared" si="14"/>
        <v>9.0000000000589608E-5</v>
      </c>
      <c r="AH15" s="15">
        <v>0.12543000000000001</v>
      </c>
      <c r="AI15">
        <f t="shared" si="23"/>
        <v>2.44171</v>
      </c>
      <c r="AJ15" s="15">
        <f t="shared" si="15"/>
        <v>1.7000000000022553E-4</v>
      </c>
      <c r="AK15" s="19">
        <f t="shared" si="16"/>
        <v>-7.9999999999635918E-5</v>
      </c>
      <c r="AL15" s="15">
        <v>0.12545999999999999</v>
      </c>
      <c r="AM15">
        <f t="shared" si="24"/>
        <v>2.44184</v>
      </c>
      <c r="AN15" s="19">
        <f t="shared" si="17"/>
        <v>5.000000000032756E-5</v>
      </c>
      <c r="AO15">
        <v>0.12534999999999999</v>
      </c>
      <c r="AP15">
        <f t="shared" si="25"/>
        <v>2.4418500000000005</v>
      </c>
      <c r="AQ15" s="19">
        <f t="shared" si="18"/>
        <v>6.0000000000837161E-5</v>
      </c>
      <c r="AR15" s="15">
        <f t="shared" si="19"/>
        <v>-1.7000000000022553E-4</v>
      </c>
      <c r="AS15" s="15">
        <f t="shared" si="20"/>
        <v>-1.2999999999996348E-4</v>
      </c>
    </row>
    <row r="16" spans="1:45" x14ac:dyDescent="0.2">
      <c r="A16" s="17" t="s">
        <v>21</v>
      </c>
      <c r="B16" s="13" t="s">
        <v>102</v>
      </c>
      <c r="C16" s="31">
        <v>0.12984000000000001</v>
      </c>
      <c r="D16" s="13">
        <f t="shared" si="6"/>
        <v>2.5718700000000001</v>
      </c>
      <c r="E16" s="31">
        <v>0.12984000000000001</v>
      </c>
      <c r="F16" s="15">
        <f t="shared" si="6"/>
        <v>2.5719800000000004</v>
      </c>
      <c r="G16" s="31">
        <v>0.12983</v>
      </c>
      <c r="H16" s="15">
        <f t="shared" si="6"/>
        <v>2.5719599999999998</v>
      </c>
      <c r="I16" s="15">
        <v>0.12983</v>
      </c>
      <c r="J16" s="15">
        <f t="shared" si="6"/>
        <v>2.5718900000000002</v>
      </c>
      <c r="K16" s="15">
        <v>0.12953000000000001</v>
      </c>
      <c r="L16" s="15">
        <f t="shared" si="21"/>
        <v>2.5717099999999999</v>
      </c>
      <c r="M16" s="15">
        <v>0.12969</v>
      </c>
      <c r="N16" s="15">
        <f t="shared" si="7"/>
        <v>2.5721000000000003</v>
      </c>
      <c r="O16" s="15">
        <v>0.12938</v>
      </c>
      <c r="P16" s="15">
        <f>P15+O16</f>
        <v>2.5713400000000002</v>
      </c>
      <c r="Q16" s="15">
        <f t="shared" si="8"/>
        <v>5.5000000000005045E-4</v>
      </c>
      <c r="R16" s="15">
        <f t="shared" si="9"/>
        <v>1.8000000000029104E-4</v>
      </c>
      <c r="S16" s="15">
        <f t="shared" si="0"/>
        <v>-2.1000000000004349E-4</v>
      </c>
      <c r="T16" s="15">
        <f t="shared" si="10"/>
        <v>-1.1000000000027654E-4</v>
      </c>
      <c r="U16" s="15">
        <f t="shared" si="11"/>
        <v>6.0000000000037801E-4</v>
      </c>
      <c r="V16" s="15">
        <f t="shared" si="1"/>
        <v>6.9999999999570406E-5</v>
      </c>
      <c r="W16" s="15">
        <f t="shared" si="12"/>
        <v>7.1000000000065455E-4</v>
      </c>
      <c r="X16" s="15">
        <f t="shared" si="13"/>
        <v>6.9000000000007944E-4</v>
      </c>
      <c r="Y16" s="15">
        <f t="shared" si="2"/>
        <v>6.2000000000050903E-4</v>
      </c>
      <c r="Z16" s="15">
        <f t="shared" si="3"/>
        <v>3.1999999999987594E-4</v>
      </c>
      <c r="AA16" s="15">
        <f t="shared" si="4"/>
        <v>5.3000000000036351E-4</v>
      </c>
      <c r="AB16" s="15">
        <f t="shared" si="5"/>
        <v>3.6000000000013799E-4</v>
      </c>
      <c r="AC16" s="15">
        <v>0.12948000000000001</v>
      </c>
      <c r="AD16" s="15">
        <f t="shared" si="22"/>
        <v>2.5712699999999997</v>
      </c>
      <c r="AE16" s="15">
        <v>0.12969</v>
      </c>
      <c r="AF16" s="15">
        <f t="shared" si="22"/>
        <v>2.5715700000000004</v>
      </c>
      <c r="AG16" s="19">
        <f t="shared" si="14"/>
        <v>3.0000000000063309E-4</v>
      </c>
      <c r="AH16" s="15">
        <v>0.12964999999999999</v>
      </c>
      <c r="AI16">
        <f t="shared" si="23"/>
        <v>2.5713599999999999</v>
      </c>
      <c r="AJ16" s="15">
        <f t="shared" si="15"/>
        <v>2.1000000000048757E-4</v>
      </c>
      <c r="AK16" s="19">
        <f t="shared" si="16"/>
        <v>9.0000000000145519E-5</v>
      </c>
      <c r="AL16" s="15">
        <v>0.12969</v>
      </c>
      <c r="AM16">
        <f t="shared" si="24"/>
        <v>2.5715300000000001</v>
      </c>
      <c r="AN16" s="19">
        <f t="shared" si="17"/>
        <v>2.6000000000037105E-4</v>
      </c>
      <c r="AO16">
        <v>0.12975999999999999</v>
      </c>
      <c r="AP16">
        <f t="shared" si="25"/>
        <v>2.5716100000000006</v>
      </c>
      <c r="AQ16" s="19">
        <f t="shared" si="18"/>
        <v>3.4000000000089514E-4</v>
      </c>
      <c r="AR16" s="15">
        <f t="shared" si="19"/>
        <v>-2.1000000000048757E-4</v>
      </c>
      <c r="AS16" s="15">
        <f t="shared" si="20"/>
        <v>-1.7000000000022553E-4</v>
      </c>
    </row>
    <row r="17" spans="1:45" x14ac:dyDescent="0.2">
      <c r="A17" s="17" t="s">
        <v>22</v>
      </c>
      <c r="B17" s="13" t="s">
        <v>103</v>
      </c>
      <c r="C17" s="31">
        <v>0.22864999999999999</v>
      </c>
      <c r="D17" s="13">
        <f t="shared" si="6"/>
        <v>2.8005200000000001</v>
      </c>
      <c r="E17" s="31">
        <v>0.22867999999999999</v>
      </c>
      <c r="F17" s="15">
        <f t="shared" si="6"/>
        <v>2.8006600000000006</v>
      </c>
      <c r="G17" s="31">
        <v>0.22867999999999999</v>
      </c>
      <c r="H17" s="15">
        <f t="shared" si="6"/>
        <v>2.8006399999999996</v>
      </c>
      <c r="I17" s="15">
        <v>0.22864999999999999</v>
      </c>
      <c r="J17" s="15">
        <f t="shared" si="6"/>
        <v>2.8005400000000003</v>
      </c>
      <c r="K17" s="15">
        <v>0.22892000000000001</v>
      </c>
      <c r="L17" s="15">
        <f t="shared" si="21"/>
        <v>2.80063</v>
      </c>
      <c r="M17" s="15">
        <v>0.22842999999999999</v>
      </c>
      <c r="N17" s="15">
        <f t="shared" si="7"/>
        <v>2.8005300000000002</v>
      </c>
      <c r="O17" s="15">
        <v>0.22944999999999999</v>
      </c>
      <c r="P17" s="15">
        <f t="shared" si="7"/>
        <v>2.8007900000000001</v>
      </c>
      <c r="Q17" s="15">
        <f t="shared" si="8"/>
        <v>-2.4999999999986144E-4</v>
      </c>
      <c r="R17" s="15">
        <f t="shared" si="9"/>
        <v>-8.999999999970143E-5</v>
      </c>
      <c r="S17" s="15">
        <f t="shared" si="0"/>
        <v>1.0000000000065512E-5</v>
      </c>
      <c r="T17" s="15">
        <f t="shared" si="10"/>
        <v>-1.4000000000047308E-4</v>
      </c>
      <c r="U17" s="15">
        <f t="shared" si="11"/>
        <v>2.7000000000043656E-4</v>
      </c>
      <c r="V17" s="15">
        <f t="shared" si="1"/>
        <v>9.9999999999322853E-5</v>
      </c>
      <c r="W17" s="15">
        <f t="shared" si="12"/>
        <v>4.1000000000090964E-4</v>
      </c>
      <c r="X17" s="15">
        <f t="shared" si="13"/>
        <v>3.8999999999989043E-4</v>
      </c>
      <c r="Y17" s="15">
        <f t="shared" si="2"/>
        <v>2.9000000000056758E-4</v>
      </c>
      <c r="Z17" s="15">
        <f t="shared" si="3"/>
        <v>-1.500000000000945E-4</v>
      </c>
      <c r="AA17" s="15">
        <f t="shared" si="4"/>
        <v>1.8000000000029104E-4</v>
      </c>
      <c r="AB17" s="15">
        <f t="shared" si="5"/>
        <v>-1.9999999999686935E-5</v>
      </c>
      <c r="AC17" s="15">
        <v>0.22897999999999999</v>
      </c>
      <c r="AD17" s="15">
        <f t="shared" si="22"/>
        <v>2.8002499999999997</v>
      </c>
      <c r="AE17" s="15">
        <v>0.22911999999999999</v>
      </c>
      <c r="AF17" s="15">
        <f t="shared" si="22"/>
        <v>2.8006900000000003</v>
      </c>
      <c r="AG17" s="19">
        <f t="shared" si="14"/>
        <v>4.4000000000066208E-4</v>
      </c>
      <c r="AH17" s="15">
        <v>0.22900000000000001</v>
      </c>
      <c r="AI17">
        <f t="shared" si="23"/>
        <v>2.80036</v>
      </c>
      <c r="AJ17" s="15">
        <f t="shared" si="15"/>
        <v>3.3000000000038554E-4</v>
      </c>
      <c r="AK17" s="19">
        <f t="shared" si="16"/>
        <v>1.1000000000027654E-4</v>
      </c>
      <c r="AL17" s="15">
        <v>0.22903000000000001</v>
      </c>
      <c r="AM17">
        <f t="shared" si="24"/>
        <v>2.8005599999999999</v>
      </c>
      <c r="AN17" s="19">
        <f t="shared" si="17"/>
        <v>3.1000000000025452E-4</v>
      </c>
      <c r="AO17">
        <v>0.22897000000000001</v>
      </c>
      <c r="AP17">
        <f t="shared" si="25"/>
        <v>2.8005800000000005</v>
      </c>
      <c r="AQ17" s="19">
        <f t="shared" si="18"/>
        <v>3.3000000000082963E-4</v>
      </c>
      <c r="AR17" s="15">
        <f t="shared" si="19"/>
        <v>-3.3000000000038554E-4</v>
      </c>
      <c r="AS17" s="15">
        <f t="shared" si="20"/>
        <v>-1.9999999999997797E-4</v>
      </c>
    </row>
    <row r="18" spans="1:45" x14ac:dyDescent="0.2">
      <c r="A18" s="17" t="s">
        <v>23</v>
      </c>
      <c r="B18" s="13" t="s">
        <v>104</v>
      </c>
      <c r="C18" s="31">
        <v>0.18225</v>
      </c>
      <c r="D18" s="13">
        <f t="shared" si="6"/>
        <v>2.9827699999999999</v>
      </c>
      <c r="E18" s="31">
        <v>0.18225</v>
      </c>
      <c r="F18" s="15">
        <f t="shared" si="6"/>
        <v>2.9829100000000004</v>
      </c>
      <c r="G18" s="31">
        <v>0.18226999999999999</v>
      </c>
      <c r="H18" s="15">
        <f t="shared" si="6"/>
        <v>2.9829099999999995</v>
      </c>
      <c r="I18" s="15">
        <v>0.18235000000000001</v>
      </c>
      <c r="J18" s="15">
        <f t="shared" si="6"/>
        <v>2.9828900000000003</v>
      </c>
      <c r="K18" s="15">
        <v>0.18246999999999999</v>
      </c>
      <c r="L18" s="15">
        <f t="shared" si="21"/>
        <v>2.9830999999999999</v>
      </c>
      <c r="M18" s="15">
        <v>0.18251999999999999</v>
      </c>
      <c r="N18" s="15">
        <f t="shared" si="7"/>
        <v>2.98305</v>
      </c>
      <c r="O18" s="15">
        <v>0.18223</v>
      </c>
      <c r="P18" s="15">
        <f t="shared" si="7"/>
        <v>2.9830200000000002</v>
      </c>
      <c r="Q18" s="15">
        <f t="shared" si="8"/>
        <v>-1.2999999999996348E-4</v>
      </c>
      <c r="R18" s="15">
        <f t="shared" si="9"/>
        <v>-2.099999999995994E-4</v>
      </c>
      <c r="S18" s="15">
        <f t="shared" si="0"/>
        <v>-1.5999999999971593E-4</v>
      </c>
      <c r="T18" s="15">
        <f t="shared" si="10"/>
        <v>-1.4000000000047308E-4</v>
      </c>
      <c r="U18" s="15">
        <f t="shared" si="11"/>
        <v>2.8000000000005798E-4</v>
      </c>
      <c r="V18" s="15">
        <f t="shared" si="1"/>
        <v>1.9999999999242846E-5</v>
      </c>
      <c r="W18" s="15">
        <f t="shared" si="12"/>
        <v>4.2000000000053106E-4</v>
      </c>
      <c r="X18" s="15">
        <f t="shared" si="13"/>
        <v>4.1999999999964288E-4</v>
      </c>
      <c r="Y18" s="15">
        <f t="shared" si="2"/>
        <v>4.0000000000040004E-4</v>
      </c>
      <c r="Z18" s="15">
        <f t="shared" si="3"/>
        <v>4.9999999999883471E-5</v>
      </c>
      <c r="AA18" s="15">
        <f t="shared" si="4"/>
        <v>3.00000000000189E-4</v>
      </c>
      <c r="AB18" s="15">
        <f t="shared" si="5"/>
        <v>1.3000000000040757E-4</v>
      </c>
      <c r="AC18" s="15">
        <v>0.18224000000000001</v>
      </c>
      <c r="AD18" s="15">
        <f t="shared" si="22"/>
        <v>2.9824899999999999</v>
      </c>
      <c r="AE18" s="15">
        <v>0.18215000000000001</v>
      </c>
      <c r="AF18" s="15">
        <f t="shared" si="22"/>
        <v>2.9828400000000004</v>
      </c>
      <c r="AG18" s="19">
        <f t="shared" si="14"/>
        <v>3.5000000000051656E-4</v>
      </c>
      <c r="AH18" s="15">
        <v>0.18223</v>
      </c>
      <c r="AI18">
        <f t="shared" si="23"/>
        <v>2.9825900000000001</v>
      </c>
      <c r="AJ18" s="15">
        <f t="shared" si="15"/>
        <v>2.5000000000030553E-4</v>
      </c>
      <c r="AK18" s="19">
        <f t="shared" si="16"/>
        <v>1.0000000000021103E-4</v>
      </c>
      <c r="AL18" s="15">
        <v>0.1822</v>
      </c>
      <c r="AM18">
        <f t="shared" si="24"/>
        <v>2.9827599999999999</v>
      </c>
      <c r="AN18" s="19">
        <f t="shared" si="17"/>
        <v>2.6999999999999247E-4</v>
      </c>
      <c r="AO18">
        <v>0.18235000000000001</v>
      </c>
      <c r="AP18">
        <f t="shared" si="25"/>
        <v>2.9829300000000005</v>
      </c>
      <c r="AQ18" s="19">
        <f t="shared" si="18"/>
        <v>4.4000000000066208E-4</v>
      </c>
      <c r="AR18" s="15">
        <f t="shared" si="19"/>
        <v>-2.5000000000030553E-4</v>
      </c>
      <c r="AS18" s="15">
        <f t="shared" si="20"/>
        <v>-1.6999999999978144E-4</v>
      </c>
    </row>
    <row r="19" spans="1:45" x14ac:dyDescent="0.2">
      <c r="A19" s="17" t="s">
        <v>24</v>
      </c>
      <c r="B19" s="13" t="s">
        <v>105</v>
      </c>
      <c r="C19" s="31">
        <v>0.152</v>
      </c>
      <c r="D19" s="13">
        <f t="shared" si="6"/>
        <v>3.1347700000000001</v>
      </c>
      <c r="E19" s="31">
        <v>0.152</v>
      </c>
      <c r="F19" s="15">
        <f t="shared" si="6"/>
        <v>3.1349100000000005</v>
      </c>
      <c r="G19" s="31">
        <v>0.15201999999999999</v>
      </c>
      <c r="H19" s="15">
        <f t="shared" si="6"/>
        <v>3.1349299999999993</v>
      </c>
      <c r="I19" s="15">
        <v>0.15192</v>
      </c>
      <c r="J19" s="15">
        <f t="shared" si="6"/>
        <v>3.1348100000000003</v>
      </c>
      <c r="K19" s="15">
        <v>0.152</v>
      </c>
      <c r="L19" s="15">
        <f t="shared" si="21"/>
        <v>3.1351</v>
      </c>
      <c r="M19" s="15">
        <v>0.15243999999999999</v>
      </c>
      <c r="N19" s="15">
        <f t="shared" si="7"/>
        <v>3.1354899999999999</v>
      </c>
      <c r="O19" s="15">
        <v>0.15217</v>
      </c>
      <c r="P19" s="15">
        <f t="shared" si="7"/>
        <v>3.1351900000000001</v>
      </c>
      <c r="Q19" s="15">
        <f t="shared" si="8"/>
        <v>-3.7999999999982492E-4</v>
      </c>
      <c r="R19" s="15">
        <f t="shared" si="9"/>
        <v>-2.899999999996794E-4</v>
      </c>
      <c r="S19" s="15">
        <f t="shared" si="0"/>
        <v>-6.7999999999956984E-4</v>
      </c>
      <c r="T19" s="15">
        <f t="shared" si="10"/>
        <v>-1.4000000000047308E-4</v>
      </c>
      <c r="U19" s="15">
        <f t="shared" si="11"/>
        <v>3.1000000000025452E-4</v>
      </c>
      <c r="V19" s="15">
        <f t="shared" si="1"/>
        <v>1.1999999999900979E-4</v>
      </c>
      <c r="W19" s="15">
        <f t="shared" si="12"/>
        <v>4.500000000007276E-4</v>
      </c>
      <c r="X19" s="15">
        <f t="shared" si="13"/>
        <v>4.6999999999952635E-4</v>
      </c>
      <c r="Y19" s="15">
        <f t="shared" si="2"/>
        <v>3.5000000000051656E-4</v>
      </c>
      <c r="Z19" s="15">
        <f t="shared" si="3"/>
        <v>-1.0000000000021103E-4</v>
      </c>
      <c r="AA19" s="15">
        <f t="shared" si="4"/>
        <v>2.9000000000012349E-4</v>
      </c>
      <c r="AB19" s="15">
        <f t="shared" si="5"/>
        <v>1.0000000000509601E-5</v>
      </c>
      <c r="AC19" s="15">
        <v>0.15196999999999999</v>
      </c>
      <c r="AD19" s="15">
        <f t="shared" si="22"/>
        <v>3.1344599999999998</v>
      </c>
      <c r="AE19" s="15">
        <v>0.15207000000000001</v>
      </c>
      <c r="AF19" s="15">
        <f t="shared" si="22"/>
        <v>3.1349100000000005</v>
      </c>
      <c r="AG19" s="19">
        <f t="shared" si="14"/>
        <v>4.500000000007276E-4</v>
      </c>
      <c r="AH19" s="15">
        <v>0.15193000000000001</v>
      </c>
      <c r="AI19">
        <f t="shared" si="23"/>
        <v>3.1345200000000002</v>
      </c>
      <c r="AJ19" s="15">
        <f t="shared" si="15"/>
        <v>3.9000000000033452E-4</v>
      </c>
      <c r="AK19" s="19">
        <f t="shared" si="16"/>
        <v>6.0000000000393072E-5</v>
      </c>
      <c r="AL19" s="15">
        <v>0.15204000000000001</v>
      </c>
      <c r="AM19">
        <f t="shared" si="24"/>
        <v>3.1347999999999998</v>
      </c>
      <c r="AN19" s="19">
        <f t="shared" si="17"/>
        <v>3.4000000000000696E-4</v>
      </c>
      <c r="AO19">
        <v>0.15204999999999999</v>
      </c>
      <c r="AP19">
        <f t="shared" si="25"/>
        <v>3.1349800000000005</v>
      </c>
      <c r="AQ19" s="19">
        <f t="shared" si="18"/>
        <v>5.2000000000074209E-4</v>
      </c>
      <c r="AR19" s="15">
        <f t="shared" si="19"/>
        <v>-3.9000000000033452E-4</v>
      </c>
      <c r="AS19" s="15">
        <f t="shared" si="20"/>
        <v>-2.7999999999961389E-4</v>
      </c>
    </row>
    <row r="20" spans="1:45" x14ac:dyDescent="0.2">
      <c r="A20" s="17" t="s">
        <v>25</v>
      </c>
      <c r="B20" s="13" t="s">
        <v>106</v>
      </c>
      <c r="C20" s="31">
        <v>0.15332999999999999</v>
      </c>
      <c r="D20" s="13">
        <f t="shared" si="6"/>
        <v>3.2881</v>
      </c>
      <c r="E20" s="31">
        <v>0.15334999999999999</v>
      </c>
      <c r="F20" s="15">
        <f t="shared" si="6"/>
        <v>3.2882600000000006</v>
      </c>
      <c r="G20" s="31">
        <v>0.15332000000000001</v>
      </c>
      <c r="H20" s="15">
        <f t="shared" si="6"/>
        <v>3.2882499999999992</v>
      </c>
      <c r="I20" s="15">
        <v>0.15337000000000001</v>
      </c>
      <c r="J20" s="15">
        <f t="shared" si="6"/>
        <v>3.2881800000000005</v>
      </c>
      <c r="K20" s="15">
        <v>0.15245</v>
      </c>
      <c r="L20" s="15">
        <f t="shared" si="21"/>
        <v>3.28755</v>
      </c>
      <c r="M20" s="15">
        <v>0.15246999999999999</v>
      </c>
      <c r="N20" s="15">
        <f t="shared" si="7"/>
        <v>3.28796</v>
      </c>
      <c r="O20" s="15">
        <v>0.15218999999999999</v>
      </c>
      <c r="P20" s="15">
        <f t="shared" si="7"/>
        <v>3.2873800000000002</v>
      </c>
      <c r="Q20" s="15">
        <f t="shared" si="8"/>
        <v>8.0000000000035598E-4</v>
      </c>
      <c r="R20" s="15">
        <f t="shared" si="9"/>
        <v>6.3000000000057454E-4</v>
      </c>
      <c r="S20" s="15">
        <f t="shared" si="0"/>
        <v>2.2000000000055309E-4</v>
      </c>
      <c r="T20" s="15">
        <f t="shared" si="10"/>
        <v>-1.600000000006041E-4</v>
      </c>
      <c r="U20" s="15">
        <f t="shared" si="11"/>
        <v>1.3300000000002754E-3</v>
      </c>
      <c r="V20" s="15">
        <f t="shared" si="1"/>
        <v>6.9999999998682227E-5</v>
      </c>
      <c r="W20" s="15">
        <f t="shared" si="12"/>
        <v>1.4900000000008795E-3</v>
      </c>
      <c r="X20" s="15">
        <f t="shared" si="13"/>
        <v>1.4799999999994817E-3</v>
      </c>
      <c r="Y20" s="15">
        <f t="shared" si="2"/>
        <v>1.4100000000007995E-3</v>
      </c>
      <c r="Z20" s="15">
        <f>J20-AF20</f>
        <v>8.799999999999919E-4</v>
      </c>
      <c r="AA20" s="15">
        <f t="shared" si="4"/>
        <v>1.3600000000004719E-3</v>
      </c>
      <c r="AB20" s="15">
        <f t="shared" si="5"/>
        <v>1.0200000000009091E-3</v>
      </c>
      <c r="AC20" s="15">
        <v>0.15231</v>
      </c>
      <c r="AD20" s="15">
        <f t="shared" si="22"/>
        <v>3.2867699999999997</v>
      </c>
      <c r="AE20" s="15">
        <v>0.15239</v>
      </c>
      <c r="AF20" s="15">
        <f t="shared" si="22"/>
        <v>3.2873000000000006</v>
      </c>
      <c r="AG20" s="19">
        <f t="shared" si="14"/>
        <v>5.300000000008076E-4</v>
      </c>
      <c r="AH20" s="15">
        <v>0.15229999999999999</v>
      </c>
      <c r="AI20">
        <f t="shared" si="23"/>
        <v>3.2868200000000001</v>
      </c>
      <c r="AJ20" s="15">
        <f t="shared" si="15"/>
        <v>4.8000000000048004E-4</v>
      </c>
      <c r="AK20" s="19">
        <f t="shared" si="16"/>
        <v>5.000000000032756E-5</v>
      </c>
      <c r="AL20" s="15">
        <v>0.15236</v>
      </c>
      <c r="AM20">
        <f t="shared" si="24"/>
        <v>3.2871599999999996</v>
      </c>
      <c r="AN20" s="19">
        <f t="shared" si="17"/>
        <v>3.8999999999989043E-4</v>
      </c>
      <c r="AO20">
        <v>0.15237999999999999</v>
      </c>
      <c r="AP20">
        <f t="shared" si="25"/>
        <v>3.2873600000000005</v>
      </c>
      <c r="AQ20" s="19">
        <f t="shared" si="18"/>
        <v>5.9000000000075659E-4</v>
      </c>
      <c r="AR20" s="15">
        <f t="shared" si="19"/>
        <v>-4.8000000000048004E-4</v>
      </c>
      <c r="AS20" s="15">
        <f t="shared" si="20"/>
        <v>-3.3999999999956287E-4</v>
      </c>
    </row>
    <row r="21" spans="1:45" x14ac:dyDescent="0.2">
      <c r="A21" s="17" t="s">
        <v>26</v>
      </c>
      <c r="B21" s="13" t="s">
        <v>107</v>
      </c>
      <c r="C21" s="31">
        <v>0.15709000000000001</v>
      </c>
      <c r="D21" s="13">
        <f t="shared" si="6"/>
        <v>3.4451900000000002</v>
      </c>
      <c r="E21" s="31">
        <v>0.15715999999999999</v>
      </c>
      <c r="F21" s="15">
        <f t="shared" si="6"/>
        <v>3.4454200000000008</v>
      </c>
      <c r="G21" s="31">
        <v>0.15720999999999999</v>
      </c>
      <c r="H21" s="15">
        <f t="shared" si="6"/>
        <v>3.4454599999999993</v>
      </c>
      <c r="I21" s="15">
        <v>0.15719</v>
      </c>
      <c r="J21" s="15">
        <f t="shared" si="6"/>
        <v>3.4453700000000005</v>
      </c>
      <c r="K21" s="15">
        <v>0.15806000000000001</v>
      </c>
      <c r="L21" s="15">
        <f t="shared" si="21"/>
        <v>3.4456099999999998</v>
      </c>
      <c r="M21" s="15">
        <v>0.15779000000000001</v>
      </c>
      <c r="N21" s="15">
        <f t="shared" si="7"/>
        <v>3.4457499999999999</v>
      </c>
      <c r="O21" s="15">
        <v>0.15823000000000001</v>
      </c>
      <c r="P21" s="15">
        <f t="shared" si="7"/>
        <v>3.4456100000000003</v>
      </c>
      <c r="Q21" s="15">
        <f t="shared" si="8"/>
        <v>-2.3999999999979593E-4</v>
      </c>
      <c r="R21" s="15">
        <f t="shared" si="9"/>
        <v>-2.3999999999935184E-4</v>
      </c>
      <c r="S21" s="15">
        <f t="shared" si="0"/>
        <v>-3.7999999999938083E-4</v>
      </c>
      <c r="T21" s="15">
        <f t="shared" si="10"/>
        <v>-2.300000000006186E-4</v>
      </c>
      <c r="U21" s="15">
        <f t="shared" si="11"/>
        <v>3.3000000000038554E-4</v>
      </c>
      <c r="V21" s="15">
        <f t="shared" si="1"/>
        <v>8.9999999998813252E-5</v>
      </c>
      <c r="W21" s="15">
        <f t="shared" si="12"/>
        <v>5.6000000000100414E-4</v>
      </c>
      <c r="X21" s="15">
        <f t="shared" si="13"/>
        <v>5.9999999999948983E-4</v>
      </c>
      <c r="Y21" s="15">
        <f t="shared" si="2"/>
        <v>5.1000000000067658E-4</v>
      </c>
      <c r="Z21" s="15">
        <f t="shared" si="3"/>
        <v>-4.9999999999883471E-5</v>
      </c>
      <c r="AA21" s="15">
        <f t="shared" si="4"/>
        <v>4.4000000000021799E-4</v>
      </c>
      <c r="AB21" s="15">
        <f t="shared" si="5"/>
        <v>1.4000000000091717E-4</v>
      </c>
      <c r="AC21" s="15">
        <v>0.15809000000000001</v>
      </c>
      <c r="AD21" s="15">
        <f t="shared" si="22"/>
        <v>3.4448599999999998</v>
      </c>
      <c r="AE21" s="15">
        <v>0.15812000000000001</v>
      </c>
      <c r="AF21" s="15">
        <f t="shared" si="22"/>
        <v>3.4454200000000004</v>
      </c>
      <c r="AG21" s="19">
        <f t="shared" si="14"/>
        <v>5.6000000000056005E-4</v>
      </c>
      <c r="AH21" s="15">
        <v>0.15811</v>
      </c>
      <c r="AI21">
        <f t="shared" si="23"/>
        <v>3.4449300000000003</v>
      </c>
      <c r="AJ21" s="15">
        <f t="shared" si="15"/>
        <v>4.9000000000010147E-4</v>
      </c>
      <c r="AK21" s="19">
        <f t="shared" si="16"/>
        <v>7.0000000000458584E-5</v>
      </c>
      <c r="AL21" s="15">
        <v>0.15806999999999999</v>
      </c>
      <c r="AM21">
        <f t="shared" si="24"/>
        <v>3.4452299999999996</v>
      </c>
      <c r="AN21" s="19">
        <f t="shared" si="17"/>
        <v>3.6999999999975941E-4</v>
      </c>
      <c r="AO21">
        <v>0.15817000000000001</v>
      </c>
      <c r="AP21">
        <f t="shared" si="25"/>
        <v>3.4455300000000006</v>
      </c>
      <c r="AQ21" s="19">
        <f t="shared" si="18"/>
        <v>6.7000000000083659E-4</v>
      </c>
      <c r="AR21" s="15">
        <f t="shared" si="19"/>
        <v>-4.9000000000010147E-4</v>
      </c>
      <c r="AS21" s="15">
        <f t="shared" si="20"/>
        <v>-2.9999999999930083E-4</v>
      </c>
    </row>
    <row r="22" spans="1:45" x14ac:dyDescent="0.2">
      <c r="A22" s="17" t="s">
        <v>27</v>
      </c>
      <c r="B22" s="13" t="s">
        <v>108</v>
      </c>
      <c r="C22" s="31">
        <v>0.14873</v>
      </c>
      <c r="D22" s="13">
        <f t="shared" si="6"/>
        <v>3.5939200000000002</v>
      </c>
      <c r="E22" s="31">
        <v>0.14867</v>
      </c>
      <c r="F22" s="15">
        <f t="shared" si="6"/>
        <v>3.5940900000000009</v>
      </c>
      <c r="G22" s="31">
        <v>0.14868000000000001</v>
      </c>
      <c r="H22" s="15">
        <f t="shared" si="6"/>
        <v>3.5941399999999994</v>
      </c>
      <c r="I22" s="15">
        <v>0.14868000000000001</v>
      </c>
      <c r="J22" s="15">
        <f t="shared" si="6"/>
        <v>3.5940500000000006</v>
      </c>
      <c r="K22" s="15">
        <v>0.1487</v>
      </c>
      <c r="L22" s="15">
        <f t="shared" si="21"/>
        <v>3.5943099999999997</v>
      </c>
      <c r="M22" s="15">
        <v>0.14860999999999999</v>
      </c>
      <c r="N22" s="15">
        <f t="shared" si="7"/>
        <v>3.59436</v>
      </c>
      <c r="O22" s="15">
        <v>0.14868999999999999</v>
      </c>
      <c r="P22" s="15">
        <f t="shared" si="7"/>
        <v>3.5943000000000005</v>
      </c>
      <c r="Q22" s="15">
        <f t="shared" si="8"/>
        <v>-2.4999999999986144E-4</v>
      </c>
      <c r="R22" s="15">
        <f t="shared" si="9"/>
        <v>-2.5999999999903878E-4</v>
      </c>
      <c r="S22" s="15">
        <f t="shared" si="0"/>
        <v>-3.0999999999936634E-4</v>
      </c>
      <c r="T22" s="15">
        <f t="shared" si="10"/>
        <v>-1.7000000000066962E-4</v>
      </c>
      <c r="U22" s="15">
        <f t="shared" si="11"/>
        <v>3.8000000000026901E-4</v>
      </c>
      <c r="V22" s="15">
        <f t="shared" si="1"/>
        <v>8.9999999998813252E-5</v>
      </c>
      <c r="W22" s="15">
        <f t="shared" si="12"/>
        <v>5.5000000000093863E-4</v>
      </c>
      <c r="X22" s="15">
        <f t="shared" si="13"/>
        <v>5.9999999999948983E-4</v>
      </c>
      <c r="Y22" s="15">
        <f t="shared" si="2"/>
        <v>5.1000000000067658E-4</v>
      </c>
      <c r="Z22" s="15">
        <f t="shared" si="3"/>
        <v>-4.9999999999883471E-5</v>
      </c>
      <c r="AA22" s="15">
        <f t="shared" si="4"/>
        <v>4.9000000000054555E-4</v>
      </c>
      <c r="AB22" s="15">
        <f t="shared" si="5"/>
        <v>2.0000000001019203E-5</v>
      </c>
      <c r="AC22" s="15">
        <v>0.14868000000000001</v>
      </c>
      <c r="AD22" s="15">
        <f t="shared" si="22"/>
        <v>3.59354</v>
      </c>
      <c r="AE22" s="15">
        <v>0.14868000000000001</v>
      </c>
      <c r="AF22" s="15">
        <f t="shared" si="22"/>
        <v>3.5941000000000005</v>
      </c>
      <c r="AG22" s="19">
        <f t="shared" si="14"/>
        <v>5.6000000000056005E-4</v>
      </c>
      <c r="AH22" s="15">
        <v>0.14863000000000001</v>
      </c>
      <c r="AI22">
        <f t="shared" si="23"/>
        <v>3.5935600000000001</v>
      </c>
      <c r="AJ22" s="15">
        <f t="shared" si="15"/>
        <v>5.4000000000042903E-4</v>
      </c>
      <c r="AK22" s="19">
        <f t="shared" si="16"/>
        <v>2.0000000000131024E-5</v>
      </c>
      <c r="AL22" s="15">
        <v>0.14879999999999999</v>
      </c>
      <c r="AM22">
        <f t="shared" si="24"/>
        <v>3.5940299999999996</v>
      </c>
      <c r="AN22" s="19">
        <f t="shared" si="17"/>
        <v>4.8999999999965738E-4</v>
      </c>
      <c r="AO22">
        <v>0.14868999999999999</v>
      </c>
      <c r="AP22">
        <f t="shared" si="25"/>
        <v>3.5942200000000009</v>
      </c>
      <c r="AQ22" s="19">
        <f t="shared" si="18"/>
        <v>6.8000000000090211E-4</v>
      </c>
      <c r="AR22" s="15">
        <f t="shared" si="19"/>
        <v>-5.4000000000042903E-4</v>
      </c>
      <c r="AS22" s="15">
        <f t="shared" si="20"/>
        <v>-4.6999999999952635E-4</v>
      </c>
    </row>
    <row r="23" spans="1:45" x14ac:dyDescent="0.2">
      <c r="A23" s="17" t="s">
        <v>28</v>
      </c>
      <c r="B23" s="13" t="s">
        <v>109</v>
      </c>
      <c r="C23" s="31">
        <v>0.20968000000000001</v>
      </c>
      <c r="D23" s="13">
        <f t="shared" si="6"/>
        <v>3.8036000000000003</v>
      </c>
      <c r="E23" s="31">
        <v>0.20965</v>
      </c>
      <c r="F23" s="15">
        <f t="shared" si="6"/>
        <v>3.8037400000000008</v>
      </c>
      <c r="G23" s="31">
        <v>0.20967</v>
      </c>
      <c r="H23" s="15">
        <f t="shared" si="6"/>
        <v>3.8038099999999995</v>
      </c>
      <c r="I23" s="15">
        <v>0.2097</v>
      </c>
      <c r="J23" s="15">
        <f t="shared" si="6"/>
        <v>3.8037500000000009</v>
      </c>
      <c r="K23" s="15">
        <v>0.20987</v>
      </c>
      <c r="L23" s="15">
        <f t="shared" si="21"/>
        <v>3.8041799999999997</v>
      </c>
      <c r="M23" s="15">
        <v>0.21002999999999999</v>
      </c>
      <c r="N23" s="15">
        <f t="shared" si="7"/>
        <v>3.8043900000000002</v>
      </c>
      <c r="O23" s="15">
        <v>0.20968999999999999</v>
      </c>
      <c r="P23" s="15">
        <f t="shared" si="7"/>
        <v>3.8039900000000006</v>
      </c>
      <c r="Q23" s="15">
        <f t="shared" si="8"/>
        <v>-2.3999999999979593E-4</v>
      </c>
      <c r="R23" s="15">
        <f t="shared" si="9"/>
        <v>-4.2999999999882021E-4</v>
      </c>
      <c r="S23" s="15">
        <f t="shared" si="0"/>
        <v>-6.3999999999930779E-4</v>
      </c>
      <c r="T23" s="15">
        <f t="shared" si="10"/>
        <v>-1.4000000000047308E-4</v>
      </c>
      <c r="U23" s="15">
        <f t="shared" si="11"/>
        <v>4.3000000000015248E-4</v>
      </c>
      <c r="V23" s="15">
        <f t="shared" si="1"/>
        <v>5.9999999998616715E-5</v>
      </c>
      <c r="W23" s="15">
        <f t="shared" si="12"/>
        <v>5.7000000000062556E-4</v>
      </c>
      <c r="X23" s="15">
        <f t="shared" si="13"/>
        <v>6.3999999999930779E-4</v>
      </c>
      <c r="Y23" s="15">
        <f t="shared" si="2"/>
        <v>5.8000000000069107E-4</v>
      </c>
      <c r="Z23" s="15">
        <f t="shared" si="3"/>
        <v>-2.9999999999752447E-5</v>
      </c>
      <c r="AA23" s="15">
        <f t="shared" si="4"/>
        <v>6.1000000000088761E-4</v>
      </c>
      <c r="AB23" s="15">
        <f t="shared" si="5"/>
        <v>5.0000000001215739E-5</v>
      </c>
      <c r="AC23" s="15">
        <v>0.20963000000000001</v>
      </c>
      <c r="AD23" s="15">
        <f t="shared" si="22"/>
        <v>3.8031700000000002</v>
      </c>
      <c r="AE23" s="15">
        <v>0.20968000000000001</v>
      </c>
      <c r="AF23" s="15">
        <f t="shared" si="22"/>
        <v>3.8037800000000006</v>
      </c>
      <c r="AG23" s="19">
        <f t="shared" si="14"/>
        <v>6.1000000000044352E-4</v>
      </c>
      <c r="AH23" s="15">
        <v>0.20957999999999999</v>
      </c>
      <c r="AI23">
        <f t="shared" si="23"/>
        <v>3.80314</v>
      </c>
      <c r="AJ23" s="15">
        <f t="shared" si="15"/>
        <v>6.4000000000064006E-4</v>
      </c>
      <c r="AK23" s="19">
        <f t="shared" si="16"/>
        <v>-3.0000000000196536E-5</v>
      </c>
      <c r="AL23" s="15">
        <v>0.20967</v>
      </c>
      <c r="AM23">
        <f t="shared" si="24"/>
        <v>3.8036999999999996</v>
      </c>
      <c r="AN23" s="19">
        <f t="shared" si="17"/>
        <v>5.2999999999947534E-4</v>
      </c>
      <c r="AO23">
        <v>0.20967</v>
      </c>
      <c r="AP23">
        <f t="shared" si="25"/>
        <v>3.8038900000000009</v>
      </c>
      <c r="AQ23" s="19">
        <f t="shared" si="18"/>
        <v>7.2000000000072006E-4</v>
      </c>
      <c r="AR23" s="15">
        <f t="shared" si="19"/>
        <v>-6.4000000000064006E-4</v>
      </c>
      <c r="AS23" s="15">
        <f t="shared" si="20"/>
        <v>-5.5999999999967187E-4</v>
      </c>
    </row>
    <row r="24" spans="1:45" x14ac:dyDescent="0.2">
      <c r="B24" s="13"/>
      <c r="C24" s="31"/>
      <c r="D24" s="13"/>
      <c r="E24" s="31"/>
      <c r="F24" s="15"/>
      <c r="G24" s="31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9"/>
      <c r="AH24" s="15"/>
      <c r="AJ24" s="15"/>
      <c r="AK24" s="19"/>
      <c r="AL24" s="15"/>
      <c r="AN24" s="19"/>
      <c r="AQ24" s="19"/>
      <c r="AR24" s="15"/>
      <c r="AS24" s="15"/>
    </row>
    <row r="25" spans="1:45" x14ac:dyDescent="0.2">
      <c r="B25" s="13"/>
      <c r="C25" s="31"/>
      <c r="D25" s="13"/>
      <c r="E25" s="31"/>
      <c r="F25" s="15"/>
      <c r="G25" s="31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9"/>
      <c r="AH25" s="15"/>
      <c r="AJ25" s="15"/>
      <c r="AK25" s="19"/>
      <c r="AL25" s="15"/>
      <c r="AN25" s="19"/>
      <c r="AQ25" s="19"/>
      <c r="AR25" s="15"/>
      <c r="AS25" s="15"/>
    </row>
    <row r="26" spans="1:45" x14ac:dyDescent="0.2">
      <c r="B26" s="13"/>
      <c r="C26" s="31"/>
      <c r="D26" s="13"/>
      <c r="E26" s="31"/>
      <c r="F26" s="15"/>
      <c r="G26" s="31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9"/>
      <c r="AH26" s="15"/>
      <c r="AJ26" s="15"/>
      <c r="AK26" s="19"/>
      <c r="AL26" s="15"/>
      <c r="AN26" s="19"/>
      <c r="AQ26" s="19"/>
      <c r="AR26" s="15"/>
      <c r="AS26" s="15"/>
    </row>
    <row r="27" spans="1:45" x14ac:dyDescent="0.2">
      <c r="B27" s="13"/>
      <c r="C27" s="31"/>
      <c r="D27" s="13"/>
      <c r="E27" s="31"/>
      <c r="F27" s="15"/>
      <c r="G27" s="31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9"/>
      <c r="AH27" s="15"/>
      <c r="AJ27" s="15"/>
      <c r="AK27" s="19"/>
      <c r="AL27" s="15"/>
      <c r="AN27" s="19"/>
      <c r="AQ27" s="19"/>
      <c r="AR27" s="15"/>
      <c r="AS27" s="15"/>
    </row>
    <row r="28" spans="1:45" x14ac:dyDescent="0.2">
      <c r="B28" s="13"/>
      <c r="C28" s="31"/>
      <c r="D28" s="13"/>
      <c r="E28" s="31"/>
      <c r="F28" s="15"/>
      <c r="G28" s="31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5">
        <f t="shared" ref="AF28:AF30" si="26">AVERAGE(AL28:AM28)</f>
        <v>16.237500000000001</v>
      </c>
      <c r="AG28" s="142">
        <f t="shared" ref="AG28:AG30" si="27">AH28</f>
        <v>44363</v>
      </c>
      <c r="AH28" s="22">
        <v>44363</v>
      </c>
      <c r="AI28" t="s">
        <v>424</v>
      </c>
      <c r="AJ28" s="15">
        <v>3.80308</v>
      </c>
      <c r="AK28" s="15">
        <f t="shared" ref="AK28:AK30" si="28">AJ28-$AJ$64</f>
        <v>1.0999999999983245E-4</v>
      </c>
      <c r="AL28" s="35">
        <f>'26296'!HL5</f>
        <v>15.175000000000001</v>
      </c>
      <c r="AM28" s="35">
        <f>'26296'!HL22</f>
        <v>17.3</v>
      </c>
      <c r="AN28" s="19"/>
      <c r="AQ28" s="19"/>
      <c r="AR28" s="15"/>
      <c r="AS28" s="15"/>
    </row>
    <row r="29" spans="1:45" x14ac:dyDescent="0.2">
      <c r="B29" s="13"/>
      <c r="C29" s="31"/>
      <c r="D29" s="13"/>
      <c r="E29" s="31"/>
      <c r="F29" s="15"/>
      <c r="G29" s="31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5">
        <f t="shared" si="26"/>
        <v>27.175000000000001</v>
      </c>
      <c r="AG29" s="142">
        <f t="shared" si="27"/>
        <v>44208</v>
      </c>
      <c r="AH29" s="22">
        <v>44208</v>
      </c>
      <c r="AI29" t="s">
        <v>425</v>
      </c>
      <c r="AJ29" s="15">
        <v>3.8039399999999999</v>
      </c>
      <c r="AK29" s="15">
        <f t="shared" si="28"/>
        <v>9.6999999999969333E-4</v>
      </c>
      <c r="AL29" s="35">
        <f>'26296'!HE5</f>
        <v>25.975000000000001</v>
      </c>
      <c r="AM29" s="35">
        <f>'26296'!HE22</f>
        <v>28.375</v>
      </c>
      <c r="AN29" s="19"/>
      <c r="AQ29" s="19"/>
      <c r="AR29" s="15"/>
      <c r="AS29" s="15"/>
    </row>
    <row r="30" spans="1:45" x14ac:dyDescent="0.2">
      <c r="B30" s="13"/>
      <c r="C30" s="31"/>
      <c r="D30" s="13"/>
      <c r="E30" s="31"/>
      <c r="F30" s="15"/>
      <c r="G30" s="31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5">
        <f t="shared" si="26"/>
        <v>20.25</v>
      </c>
      <c r="AG30" s="142">
        <f t="shared" si="27"/>
        <v>44152</v>
      </c>
      <c r="AH30" s="22">
        <v>44152</v>
      </c>
      <c r="AI30" t="s">
        <v>426</v>
      </c>
      <c r="AJ30" s="15">
        <v>3.8034500000000002</v>
      </c>
      <c r="AK30" s="15">
        <f t="shared" si="28"/>
        <v>4.8000000000003595E-4</v>
      </c>
      <c r="AL30" s="35">
        <f>'26296'!GX5</f>
        <v>20.225000000000001</v>
      </c>
      <c r="AM30" s="35">
        <f>'26296'!GX22</f>
        <v>20.275000000000002</v>
      </c>
      <c r="AN30" s="19"/>
      <c r="AQ30" s="19"/>
      <c r="AR30" s="15"/>
      <c r="AS30" s="15"/>
    </row>
    <row r="31" spans="1:45" x14ac:dyDescent="0.2">
      <c r="B31" s="13"/>
      <c r="C31" s="31"/>
      <c r="D31" s="13"/>
      <c r="E31" s="31"/>
      <c r="F31" s="15"/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5">
        <f t="shared" ref="AF31:AF32" si="29">AVERAGE(AL31:AM31)</f>
        <v>15.6625</v>
      </c>
      <c r="AG31" s="142">
        <f>AH31</f>
        <v>44091</v>
      </c>
      <c r="AH31" s="22">
        <v>44091</v>
      </c>
      <c r="AI31" t="s">
        <v>410</v>
      </c>
      <c r="AJ31" s="15">
        <v>3.8030900000000001</v>
      </c>
      <c r="AK31" s="15">
        <f t="shared" ref="AK31:AK32" si="30">AJ31-$AJ$64</f>
        <v>1.1999999999989797E-4</v>
      </c>
      <c r="AL31" s="35">
        <f>'26296'!GQ5</f>
        <v>14.95</v>
      </c>
      <c r="AM31" s="35">
        <f>'26296'!GQ22</f>
        <v>16.375</v>
      </c>
      <c r="AN31" s="19"/>
      <c r="AQ31" s="19"/>
      <c r="AR31" s="15"/>
      <c r="AS31" s="15"/>
    </row>
    <row r="32" spans="1:45" x14ac:dyDescent="0.2">
      <c r="B32" s="13"/>
      <c r="C32" s="31"/>
      <c r="D32" s="13"/>
      <c r="E32" s="31"/>
      <c r="F32" s="15"/>
      <c r="G32" s="3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5">
        <f t="shared" si="29"/>
        <v>16.825000000000003</v>
      </c>
      <c r="AG32" s="142">
        <f>AH32</f>
        <v>44062</v>
      </c>
      <c r="AH32" s="22">
        <v>44062</v>
      </c>
      <c r="AI32" t="s">
        <v>404</v>
      </c>
      <c r="AJ32" s="15">
        <v>3.8028300000000002</v>
      </c>
      <c r="AK32" s="15">
        <f t="shared" si="30"/>
        <v>-1.4000000000002899E-4</v>
      </c>
      <c r="AL32" s="35">
        <f>'26296'!GJ5</f>
        <v>16.100000000000001</v>
      </c>
      <c r="AM32" s="35">
        <f>'26296'!GJ22</f>
        <v>17.55</v>
      </c>
      <c r="AN32" s="19"/>
      <c r="AQ32" s="19"/>
      <c r="AR32" s="15"/>
      <c r="AS32" s="15"/>
    </row>
    <row r="33" spans="2:45" x14ac:dyDescent="0.2">
      <c r="B33" s="13"/>
      <c r="C33" s="31"/>
      <c r="D33" s="13"/>
      <c r="E33" s="31"/>
      <c r="F33" s="15"/>
      <c r="G33" s="3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5">
        <f t="shared" ref="AF33:AF40" si="31">AVERAGE(AL33:AM33)</f>
        <v>17.074999999999999</v>
      </c>
      <c r="AG33" s="142">
        <f t="shared" ref="AG33:AG37" si="32">AH33</f>
        <v>44025</v>
      </c>
      <c r="AH33" s="22">
        <v>44025</v>
      </c>
      <c r="AI33" t="s">
        <v>403</v>
      </c>
      <c r="AJ33" s="15">
        <v>3.8029999999999999</v>
      </c>
      <c r="AK33" s="15">
        <f t="shared" ref="AK33:AK35" si="33">AJ33-$AJ$64</f>
        <v>2.9999999999752447E-5</v>
      </c>
      <c r="AL33" s="35">
        <f>'26296'!GC5</f>
        <v>16.7</v>
      </c>
      <c r="AM33" s="35">
        <f>'26296'!GC22</f>
        <v>17.45</v>
      </c>
      <c r="AN33" s="19"/>
      <c r="AQ33" s="19"/>
      <c r="AR33" s="15"/>
      <c r="AS33" s="15"/>
    </row>
    <row r="34" spans="2:45" x14ac:dyDescent="0.2">
      <c r="B34" s="13"/>
      <c r="C34" s="31"/>
      <c r="D34" s="13"/>
      <c r="E34" s="31"/>
      <c r="F34" s="15"/>
      <c r="G34" s="3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5">
        <f t="shared" si="31"/>
        <v>14.574999999999999</v>
      </c>
      <c r="AG34" s="142">
        <f t="shared" si="32"/>
        <v>44013</v>
      </c>
      <c r="AH34" s="22">
        <v>44013</v>
      </c>
      <c r="AI34" t="s">
        <v>395</v>
      </c>
      <c r="AJ34" s="15">
        <v>3.8029600000000001</v>
      </c>
      <c r="AK34" s="15">
        <f t="shared" si="33"/>
        <v>-1.0000000000065512E-5</v>
      </c>
      <c r="AL34" s="35">
        <f>'26296'!FV5</f>
        <v>14.45</v>
      </c>
      <c r="AM34" s="35">
        <f>'26296'!FV22</f>
        <v>14.7</v>
      </c>
      <c r="AN34" s="19"/>
      <c r="AQ34" s="19"/>
      <c r="AR34" s="15"/>
      <c r="AS34" s="15"/>
    </row>
    <row r="35" spans="2:45" x14ac:dyDescent="0.2">
      <c r="B35" s="13"/>
      <c r="C35" s="31"/>
      <c r="D35" s="13"/>
      <c r="E35" s="31"/>
      <c r="F35" s="15"/>
      <c r="G35" s="3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5">
        <f t="shared" si="31"/>
        <v>16.549999999999997</v>
      </c>
      <c r="AG35" s="142">
        <f t="shared" si="32"/>
        <v>43997</v>
      </c>
      <c r="AH35" s="22">
        <v>43997</v>
      </c>
      <c r="AI35" t="s">
        <v>268</v>
      </c>
      <c r="AJ35" s="15">
        <v>3.80301</v>
      </c>
      <c r="AK35" s="15">
        <f t="shared" si="33"/>
        <v>3.9999999999817959E-5</v>
      </c>
      <c r="AL35" s="35">
        <f>'26296'!FO5</f>
        <v>16.5</v>
      </c>
      <c r="AM35" s="35">
        <f>'26296'!FO22</f>
        <v>16.599999999999998</v>
      </c>
      <c r="AN35" s="19"/>
      <c r="AQ35" s="19"/>
      <c r="AR35" s="15"/>
      <c r="AS35" s="15"/>
    </row>
    <row r="36" spans="2:45" x14ac:dyDescent="0.2">
      <c r="B36" s="13"/>
      <c r="C36" s="31"/>
      <c r="D36" s="13"/>
      <c r="E36" s="31"/>
      <c r="F36" s="15"/>
      <c r="G36" s="3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5">
        <f t="shared" si="31"/>
        <v>19.524999999999999</v>
      </c>
      <c r="AG36" s="142">
        <f t="shared" si="32"/>
        <v>43990</v>
      </c>
      <c r="AH36" s="22">
        <v>43990</v>
      </c>
      <c r="AI36" t="s">
        <v>266</v>
      </c>
      <c r="AJ36" s="15">
        <v>3.80294</v>
      </c>
      <c r="AK36" s="15">
        <f t="shared" ref="AK36:AK39" si="34">AJ36-$AJ$64</f>
        <v>-3.0000000000196536E-5</v>
      </c>
      <c r="AL36" s="35">
        <f>'26296'!FH5</f>
        <v>18.350000000000001</v>
      </c>
      <c r="AM36" s="35">
        <f>'26296'!FH22</f>
        <v>20.7</v>
      </c>
      <c r="AN36" s="19"/>
      <c r="AQ36" s="19"/>
      <c r="AR36" s="15"/>
      <c r="AS36" s="15"/>
    </row>
    <row r="37" spans="2:45" x14ac:dyDescent="0.2">
      <c r="B37" s="13"/>
      <c r="C37" s="31"/>
      <c r="D37" s="13"/>
      <c r="E37" s="31"/>
      <c r="F37" s="15"/>
      <c r="G37" s="3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5">
        <f t="shared" si="31"/>
        <v>18.9375</v>
      </c>
      <c r="AG37" s="142">
        <f t="shared" si="32"/>
        <v>43963</v>
      </c>
      <c r="AH37" s="22">
        <v>43963</v>
      </c>
      <c r="AI37" t="s">
        <v>263</v>
      </c>
      <c r="AJ37" s="15">
        <v>3.8031899999999998</v>
      </c>
      <c r="AK37" s="15">
        <f t="shared" si="34"/>
        <v>2.1999999999966491E-4</v>
      </c>
      <c r="AL37" s="35">
        <f>'26296'!FA5</f>
        <v>18.849999999999998</v>
      </c>
      <c r="AM37" s="35">
        <f>'26296'!FA22</f>
        <v>19.025000000000002</v>
      </c>
      <c r="AN37" s="19"/>
      <c r="AQ37" s="19"/>
      <c r="AR37" s="15"/>
      <c r="AS37" s="15"/>
    </row>
    <row r="38" spans="2:45" x14ac:dyDescent="0.2">
      <c r="B38" s="13"/>
      <c r="C38" s="31"/>
      <c r="D38" s="13"/>
      <c r="E38" s="31"/>
      <c r="F38" s="15"/>
      <c r="G38" s="3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5">
        <f t="shared" si="31"/>
        <v>29.85</v>
      </c>
      <c r="AG38" s="142">
        <f>'26296'!ET2</f>
        <v>43929</v>
      </c>
      <c r="AH38" s="22">
        <v>43929</v>
      </c>
      <c r="AI38" t="s">
        <v>264</v>
      </c>
      <c r="AJ38" s="15">
        <v>3.8035600000000001</v>
      </c>
      <c r="AK38" s="15">
        <f t="shared" si="34"/>
        <v>5.8999999999986841E-4</v>
      </c>
      <c r="AL38" s="35">
        <f>'26296'!ET5</f>
        <v>29.25</v>
      </c>
      <c r="AM38" s="35">
        <f>'26296'!ET22</f>
        <v>30.450000000000003</v>
      </c>
      <c r="AN38" s="19"/>
      <c r="AQ38" s="19"/>
      <c r="AR38" s="15"/>
      <c r="AS38" s="15"/>
    </row>
    <row r="39" spans="2:45" x14ac:dyDescent="0.2">
      <c r="B39" s="13"/>
      <c r="C39" s="31"/>
      <c r="D39" s="13"/>
      <c r="E39" s="31"/>
      <c r="F39" s="15"/>
      <c r="G39" s="3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5">
        <f t="shared" si="31"/>
        <v>22.825000000000003</v>
      </c>
      <c r="AG39" s="142">
        <f>'26296'!EM2</f>
        <v>43907</v>
      </c>
      <c r="AH39" s="22">
        <v>43907</v>
      </c>
      <c r="AI39" t="s">
        <v>265</v>
      </c>
      <c r="AJ39" s="15">
        <v>3.8036099999999999</v>
      </c>
      <c r="AK39" s="15">
        <f t="shared" si="34"/>
        <v>6.3999999999975188E-4</v>
      </c>
      <c r="AL39" s="35">
        <f>'26296'!EM5</f>
        <v>22.8</v>
      </c>
      <c r="AM39" s="35">
        <f>'26296'!EM22</f>
        <v>22.85</v>
      </c>
      <c r="AN39" s="19"/>
      <c r="AQ39" s="19"/>
      <c r="AR39" s="15"/>
      <c r="AS39" s="15"/>
    </row>
    <row r="40" spans="2:45" x14ac:dyDescent="0.2">
      <c r="B40" s="13"/>
      <c r="C40" s="31"/>
      <c r="D40" s="13"/>
      <c r="E40" s="31"/>
      <c r="F40" s="15"/>
      <c r="G40" s="3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5">
        <f t="shared" si="31"/>
        <v>28.4</v>
      </c>
      <c r="AG40" s="142">
        <f>AH40</f>
        <v>43809</v>
      </c>
      <c r="AH40" s="22">
        <v>43809</v>
      </c>
      <c r="AI40" t="s">
        <v>225</v>
      </c>
      <c r="AJ40" s="15">
        <v>3.8036699999999999</v>
      </c>
      <c r="AK40" s="15">
        <f>AJ40-$AJ$64</f>
        <v>6.9999999999970086E-4</v>
      </c>
      <c r="AL40" s="35">
        <f>'26296'!EF5</f>
        <v>27.95</v>
      </c>
      <c r="AM40" s="35">
        <f>'26296'!EF22</f>
        <v>28.85</v>
      </c>
      <c r="AN40" s="51">
        <v>43800</v>
      </c>
      <c r="AO40">
        <v>3.8036699999999999</v>
      </c>
      <c r="AP40">
        <f>AO40-AVERAGE($AO$40:$AO$59)</f>
        <v>2.4450000000042493E-4</v>
      </c>
      <c r="AQ40" s="19"/>
      <c r="AR40" s="15"/>
      <c r="AS40" s="15"/>
    </row>
    <row r="41" spans="2:45" x14ac:dyDescent="0.2">
      <c r="B41" s="13"/>
      <c r="C41" s="31"/>
      <c r="D41" s="13"/>
      <c r="E41" s="31"/>
      <c r="F41" s="15"/>
      <c r="G41" s="3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5">
        <f t="shared" ref="AF41:AF42" si="35">AVERAGE(AL41:AM41)</f>
        <v>20.975000000000001</v>
      </c>
      <c r="AG41" s="142">
        <f>AH41</f>
        <v>43790</v>
      </c>
      <c r="AH41" s="22">
        <v>43790</v>
      </c>
      <c r="AI41" t="s">
        <v>224</v>
      </c>
      <c r="AJ41" s="15">
        <v>3.8035899999999998</v>
      </c>
      <c r="AK41" s="15">
        <f t="shared" ref="AK41:AK48" si="36">AJ41-$AJ$64</f>
        <v>6.1999999999962085E-4</v>
      </c>
      <c r="AL41" s="35">
        <f>'26296'!DY5</f>
        <v>20.5</v>
      </c>
      <c r="AM41" s="35">
        <f>'26296'!DY22</f>
        <v>21.450000000000003</v>
      </c>
      <c r="AN41" s="51">
        <v>43770</v>
      </c>
      <c r="AO41">
        <v>3.8035899999999998</v>
      </c>
      <c r="AP41">
        <f t="shared" ref="AP41:AP59" si="37">AO41-AVERAGE($AO$40:$AO$59)</f>
        <v>1.6450000000034493E-4</v>
      </c>
      <c r="AQ41" s="19"/>
      <c r="AR41" s="15"/>
      <c r="AS41" s="15"/>
    </row>
    <row r="42" spans="2:45" x14ac:dyDescent="0.2">
      <c r="B42" s="13"/>
      <c r="C42" s="31"/>
      <c r="D42" s="13"/>
      <c r="E42" s="31"/>
      <c r="F42" s="15"/>
      <c r="G42" s="3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5">
        <f t="shared" si="35"/>
        <v>19.175000000000001</v>
      </c>
      <c r="AG42" s="142">
        <f>AH42</f>
        <v>43762</v>
      </c>
      <c r="AH42" s="22">
        <f>'26296'!DR2</f>
        <v>43762</v>
      </c>
      <c r="AI42" t="s">
        <v>223</v>
      </c>
      <c r="AJ42" s="15">
        <v>3.8033199999999998</v>
      </c>
      <c r="AK42" s="15">
        <f t="shared" si="36"/>
        <v>3.4999999999962839E-4</v>
      </c>
      <c r="AL42" s="35">
        <f>'26296'!DR5</f>
        <v>19.25</v>
      </c>
      <c r="AM42" s="35">
        <f>'26296'!DR22</f>
        <v>19.100000000000001</v>
      </c>
      <c r="AN42" s="51">
        <v>43739</v>
      </c>
      <c r="AO42">
        <v>3.8033199999999998</v>
      </c>
      <c r="AP42">
        <f t="shared" si="37"/>
        <v>-1.0549999999964754E-4</v>
      </c>
      <c r="AQ42" s="19"/>
      <c r="AR42" s="15"/>
      <c r="AS42" s="15"/>
    </row>
    <row r="43" spans="2:45" x14ac:dyDescent="0.2">
      <c r="B43" s="13"/>
      <c r="C43" s="31"/>
      <c r="D43" s="13"/>
      <c r="E43" s="31"/>
      <c r="F43" s="15"/>
      <c r="G43" s="3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5">
        <f t="shared" ref="AF43" si="38">AVERAGE(AL43:AM43)</f>
        <v>19.524999999999999</v>
      </c>
      <c r="AG43" s="142">
        <f>AH43</f>
        <v>43719</v>
      </c>
      <c r="AH43" s="22">
        <v>43719</v>
      </c>
      <c r="AI43" t="s">
        <v>222</v>
      </c>
      <c r="AJ43" s="15">
        <v>3.8031899999999998</v>
      </c>
      <c r="AK43" s="15">
        <f t="shared" si="36"/>
        <v>2.1999999999966491E-4</v>
      </c>
      <c r="AL43" s="35">
        <f>'26296'!DK5</f>
        <v>19.399999999999999</v>
      </c>
      <c r="AM43" s="35">
        <f>'26296'!DK22</f>
        <v>19.649999999999999</v>
      </c>
      <c r="AN43" s="51">
        <v>43709</v>
      </c>
      <c r="AO43">
        <v>3.8031899999999998</v>
      </c>
      <c r="AP43">
        <f t="shared" si="37"/>
        <v>-2.3549999999961102E-4</v>
      </c>
      <c r="AQ43" s="19"/>
      <c r="AR43" s="15"/>
      <c r="AS43" s="15"/>
    </row>
    <row r="44" spans="2:45" x14ac:dyDescent="0.2">
      <c r="B44" s="13"/>
      <c r="C44" s="31"/>
      <c r="D44" s="13"/>
      <c r="E44" s="31"/>
      <c r="F44" s="15"/>
      <c r="G44" s="3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5">
        <f>('26296'!DD5+'26296'!DD22)/2</f>
        <v>15.775000000000002</v>
      </c>
      <c r="AG44" s="142">
        <f>AH44</f>
        <v>43678</v>
      </c>
      <c r="AH44" s="22">
        <v>43678</v>
      </c>
      <c r="AI44" t="s">
        <v>221</v>
      </c>
      <c r="AJ44" s="15">
        <v>3.8029099999999998</v>
      </c>
      <c r="AK44" s="15">
        <f t="shared" si="36"/>
        <v>-6.0000000000393072E-5</v>
      </c>
      <c r="AL44" s="35">
        <f>'26296'!DD5</f>
        <v>14.85</v>
      </c>
      <c r="AM44" s="35">
        <f>'26296'!DD22</f>
        <v>16.700000000000003</v>
      </c>
      <c r="AN44" s="51">
        <v>43678</v>
      </c>
      <c r="AO44">
        <v>3.8029099999999998</v>
      </c>
      <c r="AP44">
        <f t="shared" si="37"/>
        <v>-5.15499999999669E-4</v>
      </c>
      <c r="AQ44" s="19"/>
      <c r="AR44" s="15"/>
      <c r="AS44" s="15"/>
    </row>
    <row r="45" spans="2:45" x14ac:dyDescent="0.2">
      <c r="B45" s="13"/>
      <c r="C45" s="31"/>
      <c r="D45" s="13"/>
      <c r="E45" s="31"/>
      <c r="F45" s="15"/>
      <c r="G45" s="3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5">
        <f>('26296'!CW5+'26296'!CW22)/2</f>
        <v>17.8</v>
      </c>
      <c r="AG45" s="142" t="s">
        <v>203</v>
      </c>
      <c r="AH45" s="22">
        <v>43647</v>
      </c>
      <c r="AI45" t="s">
        <v>220</v>
      </c>
      <c r="AJ45" s="15">
        <v>3.8032699999999999</v>
      </c>
      <c r="AK45" s="15">
        <f t="shared" si="36"/>
        <v>2.9999999999974492E-4</v>
      </c>
      <c r="AL45" s="35">
        <f>'26296'!CW5</f>
        <v>18.25</v>
      </c>
      <c r="AM45" s="35">
        <f>'26296'!CW22</f>
        <v>17.350000000000001</v>
      </c>
      <c r="AN45" s="51">
        <v>43647</v>
      </c>
      <c r="AO45">
        <v>3.8032699999999999</v>
      </c>
      <c r="AP45">
        <f t="shared" si="37"/>
        <v>-1.5549999999953101E-4</v>
      </c>
      <c r="AQ45" s="19"/>
      <c r="AR45" s="15"/>
      <c r="AS45" s="15"/>
    </row>
    <row r="46" spans="2:45" x14ac:dyDescent="0.2">
      <c r="B46" s="13"/>
      <c r="C46" s="31"/>
      <c r="D46" s="13"/>
      <c r="E46" s="31"/>
      <c r="F46" s="15"/>
      <c r="G46" s="3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5">
        <f>('26296'!CP5+'26296'!CP22)/2</f>
        <v>16.924999999999997</v>
      </c>
      <c r="AG46" s="142">
        <f>'26296'!CP2</f>
        <v>43587</v>
      </c>
      <c r="AH46" s="22">
        <v>43501</v>
      </c>
      <c r="AI46" t="s">
        <v>219</v>
      </c>
      <c r="AJ46" s="15">
        <v>3.8029600000000001</v>
      </c>
      <c r="AK46" s="15">
        <f t="shared" si="36"/>
        <v>-1.0000000000065512E-5</v>
      </c>
      <c r="AL46" s="35">
        <f>'26296'!CP5</f>
        <v>16.55</v>
      </c>
      <c r="AM46" s="35">
        <f>'26296'!CP22</f>
        <v>17.299999999999997</v>
      </c>
      <c r="AN46" s="51">
        <v>43586</v>
      </c>
      <c r="AO46">
        <v>3.8029600000000001</v>
      </c>
      <c r="AP46">
        <f t="shared" si="37"/>
        <v>-4.6549999999934144E-4</v>
      </c>
      <c r="AQ46" s="19"/>
      <c r="AR46" s="15"/>
      <c r="AS46" s="15"/>
    </row>
    <row r="47" spans="2:45" x14ac:dyDescent="0.2">
      <c r="B47" s="13"/>
      <c r="C47" s="31"/>
      <c r="D47" s="13"/>
      <c r="E47" s="31"/>
      <c r="F47" s="15"/>
      <c r="G47" s="31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5">
        <f t="shared" ref="AF47:AF48" si="39">AVERAGE(AL47:AM47)</f>
        <v>27.975000000000001</v>
      </c>
      <c r="AG47" s="142">
        <f>AH47</f>
        <v>43536</v>
      </c>
      <c r="AH47" s="22">
        <v>43536</v>
      </c>
      <c r="AI47" t="s">
        <v>218</v>
      </c>
      <c r="AJ47" s="15">
        <v>3.8037299999999998</v>
      </c>
      <c r="AK47" s="15">
        <f t="shared" si="36"/>
        <v>7.5999999999964984E-4</v>
      </c>
      <c r="AL47" s="35">
        <f>'26296'!CI5</f>
        <v>27.05</v>
      </c>
      <c r="AM47" s="35">
        <f>'26296'!CI22</f>
        <v>28.9</v>
      </c>
      <c r="AN47" s="51">
        <v>43525</v>
      </c>
      <c r="AO47">
        <v>3.8037299999999998</v>
      </c>
      <c r="AP47">
        <f t="shared" si="37"/>
        <v>3.0450000000037392E-4</v>
      </c>
      <c r="AQ47" s="19"/>
      <c r="AR47" s="15"/>
      <c r="AS47" s="15"/>
    </row>
    <row r="48" spans="2:45" x14ac:dyDescent="0.2">
      <c r="B48" s="13"/>
      <c r="C48" s="31"/>
      <c r="D48" s="13"/>
      <c r="E48" s="31"/>
      <c r="F48" s="15"/>
      <c r="G48" s="31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5">
        <f t="shared" si="39"/>
        <v>23</v>
      </c>
      <c r="AG48" s="142" t="s">
        <v>198</v>
      </c>
      <c r="AH48" s="22">
        <v>43508</v>
      </c>
      <c r="AI48" t="s">
        <v>217</v>
      </c>
      <c r="AJ48" s="15">
        <v>3.8038400000000001</v>
      </c>
      <c r="AK48" s="15">
        <f t="shared" si="36"/>
        <v>8.6999999999992639E-4</v>
      </c>
      <c r="AL48" s="35">
        <f>'26296'!CB5</f>
        <v>22.1</v>
      </c>
      <c r="AM48" s="35">
        <f>'26296'!CB22</f>
        <v>23.9</v>
      </c>
      <c r="AN48" s="51">
        <v>43497</v>
      </c>
      <c r="AO48">
        <v>3.8038400000000001</v>
      </c>
      <c r="AP48">
        <f t="shared" si="37"/>
        <v>4.1450000000065046E-4</v>
      </c>
      <c r="AQ48" s="19"/>
      <c r="AR48" s="15"/>
      <c r="AS48" s="15"/>
    </row>
    <row r="49" spans="2:45" x14ac:dyDescent="0.2">
      <c r="B49" s="13"/>
      <c r="C49" s="31"/>
      <c r="D49" s="13"/>
      <c r="E49" s="31"/>
      <c r="F49" s="15"/>
      <c r="G49" s="31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5">
        <f>AVERAGE(AL49:AM49)</f>
        <v>28.9</v>
      </c>
      <c r="AG49" s="143">
        <f>AH49</f>
        <v>43474</v>
      </c>
      <c r="AH49" s="22">
        <v>43474</v>
      </c>
      <c r="AI49" t="s">
        <v>216</v>
      </c>
      <c r="AJ49" s="15">
        <v>3.8036799999999999</v>
      </c>
      <c r="AK49" s="15">
        <f t="shared" ref="AK49:AK65" si="40">AJ49-$AJ$64</f>
        <v>7.0999999999976637E-4</v>
      </c>
      <c r="AL49" s="35">
        <f>'26296'!BU5</f>
        <v>28.05</v>
      </c>
      <c r="AM49" s="35">
        <f>'26296'!BU22</f>
        <v>29.75</v>
      </c>
      <c r="AN49" s="51">
        <v>43466</v>
      </c>
      <c r="AO49">
        <v>3.8036799999999999</v>
      </c>
      <c r="AP49">
        <f t="shared" si="37"/>
        <v>2.5450000000049045E-4</v>
      </c>
      <c r="AQ49" s="19"/>
      <c r="AR49" s="15"/>
      <c r="AS49" s="15"/>
    </row>
    <row r="50" spans="2:45" x14ac:dyDescent="0.2">
      <c r="B50" s="13"/>
      <c r="C50" s="31"/>
      <c r="D50" s="13"/>
      <c r="E50" s="31"/>
      <c r="F50" s="15"/>
      <c r="G50" s="31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5">
        <f t="shared" ref="AF50:AF59" si="41">AVERAGE(AL50:AM50)</f>
        <v>19.024999999999999</v>
      </c>
      <c r="AG50" s="143">
        <f>AH50</f>
        <v>43440</v>
      </c>
      <c r="AH50" s="22">
        <v>43440</v>
      </c>
      <c r="AI50" t="s">
        <v>213</v>
      </c>
      <c r="AJ50" s="15">
        <v>3.80369</v>
      </c>
      <c r="AK50" s="15">
        <f t="shared" si="40"/>
        <v>7.1999999999983189E-4</v>
      </c>
      <c r="AL50" s="35">
        <f>'26296'!BN5</f>
        <v>19.25</v>
      </c>
      <c r="AM50" s="35">
        <f>'26296'!BN22</f>
        <v>18.8</v>
      </c>
      <c r="AN50" s="51">
        <v>43435</v>
      </c>
      <c r="AO50">
        <v>3.80369</v>
      </c>
      <c r="AP50">
        <f t="shared" si="37"/>
        <v>2.6450000000055596E-4</v>
      </c>
      <c r="AQ50" s="19"/>
      <c r="AR50" s="15"/>
      <c r="AS50" s="15"/>
    </row>
    <row r="51" spans="2:45" x14ac:dyDescent="0.2">
      <c r="B51" s="13"/>
      <c r="C51" s="31"/>
      <c r="D51" s="13"/>
      <c r="E51" s="31"/>
      <c r="F51" s="15"/>
      <c r="G51" s="31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5">
        <f t="shared" si="41"/>
        <v>23</v>
      </c>
      <c r="AG51" s="142" t="s">
        <v>206</v>
      </c>
      <c r="AH51" s="22">
        <v>43384</v>
      </c>
      <c r="AI51" t="s">
        <v>211</v>
      </c>
      <c r="AJ51" s="15">
        <v>3.80322</v>
      </c>
      <c r="AK51" s="15">
        <f t="shared" si="40"/>
        <v>2.4999999999986144E-4</v>
      </c>
      <c r="AL51" s="35">
        <v>23</v>
      </c>
      <c r="AM51" s="35">
        <v>23</v>
      </c>
      <c r="AN51" s="51">
        <v>43374</v>
      </c>
      <c r="AO51">
        <v>3.80322</v>
      </c>
      <c r="AP51">
        <f t="shared" si="37"/>
        <v>-2.0549999999941448E-4</v>
      </c>
      <c r="AQ51" s="19"/>
      <c r="AR51" s="15"/>
      <c r="AS51" s="15"/>
    </row>
    <row r="52" spans="2:45" x14ac:dyDescent="0.2">
      <c r="B52" s="13"/>
      <c r="C52" s="31"/>
      <c r="D52" s="13"/>
      <c r="E52" s="31"/>
      <c r="F52" s="15"/>
      <c r="G52" s="31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5">
        <f t="shared" si="41"/>
        <v>16.75</v>
      </c>
      <c r="AG52" s="143">
        <f>AH52</f>
        <v>43342</v>
      </c>
      <c r="AH52" s="33">
        <v>43342</v>
      </c>
      <c r="AI52" t="s">
        <v>196</v>
      </c>
      <c r="AJ52" s="15">
        <v>3.8029999999999999</v>
      </c>
      <c r="AK52" s="15">
        <f t="shared" si="40"/>
        <v>2.9999999999752447E-5</v>
      </c>
      <c r="AL52" s="35">
        <f>'26296'!AZ5</f>
        <v>16.600000000000001</v>
      </c>
      <c r="AM52" s="36">
        <f>'26296'!AZ22</f>
        <v>16.899999999999999</v>
      </c>
      <c r="AN52" s="51">
        <v>43313</v>
      </c>
      <c r="AO52">
        <v>3.8029999999999999</v>
      </c>
      <c r="AP52">
        <f t="shared" si="37"/>
        <v>-4.2549999999952348E-4</v>
      </c>
      <c r="AQ52" s="19"/>
      <c r="AR52" s="15"/>
      <c r="AS52" s="15"/>
    </row>
    <row r="53" spans="2:45" x14ac:dyDescent="0.2">
      <c r="B53" s="13"/>
      <c r="C53" s="31"/>
      <c r="D53" s="13"/>
      <c r="E53" s="31"/>
      <c r="F53" s="15"/>
      <c r="G53" s="31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6">
        <f t="shared" si="41"/>
        <v>17.05</v>
      </c>
      <c r="AG53" s="143">
        <f>AH53</f>
        <v>43265</v>
      </c>
      <c r="AH53" s="33">
        <v>43265</v>
      </c>
      <c r="AI53" t="s">
        <v>194</v>
      </c>
      <c r="AJ53" s="15">
        <v>3.8030200000000001</v>
      </c>
      <c r="AK53" s="15">
        <f t="shared" si="40"/>
        <v>4.9999999999883471E-5</v>
      </c>
      <c r="AL53" s="35">
        <f>'26296'!AS5</f>
        <v>16</v>
      </c>
      <c r="AM53" s="36">
        <f>'26296'!AS22</f>
        <v>18.100000000000001</v>
      </c>
      <c r="AN53" s="51">
        <v>43252</v>
      </c>
      <c r="AO53">
        <v>3.8030200000000001</v>
      </c>
      <c r="AP53">
        <f t="shared" si="37"/>
        <v>-4.0549999999939246E-4</v>
      </c>
      <c r="AQ53" s="19"/>
      <c r="AR53" s="15"/>
      <c r="AS53" s="15"/>
    </row>
    <row r="54" spans="2:45" x14ac:dyDescent="0.2">
      <c r="B54" s="13"/>
      <c r="C54" s="31"/>
      <c r="D54" s="13"/>
      <c r="E54" s="31"/>
      <c r="F54" s="15"/>
      <c r="G54" s="31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5">
        <f t="shared" si="41"/>
        <v>29.9</v>
      </c>
      <c r="AG54" s="143">
        <f t="shared" ref="AG54:AG66" si="42">AH54</f>
        <v>43220</v>
      </c>
      <c r="AH54" s="33">
        <v>43220</v>
      </c>
      <c r="AI54" t="s">
        <v>193</v>
      </c>
      <c r="AJ54" s="15">
        <v>3.8033800000000002</v>
      </c>
      <c r="AK54" s="15">
        <f t="shared" si="40"/>
        <v>4.1000000000002146E-4</v>
      </c>
      <c r="AL54" s="35">
        <f>'26296'!AL5</f>
        <v>29.5</v>
      </c>
      <c r="AM54" s="35">
        <f>'26296'!AL22</f>
        <v>30.3</v>
      </c>
      <c r="AN54" s="51">
        <v>43191</v>
      </c>
      <c r="AO54">
        <v>3.8033800000000002</v>
      </c>
      <c r="AP54">
        <f t="shared" si="37"/>
        <v>-4.549999999925447E-5</v>
      </c>
      <c r="AQ54" s="19"/>
      <c r="AR54" s="15"/>
      <c r="AS54" s="15"/>
    </row>
    <row r="55" spans="2:45" x14ac:dyDescent="0.2">
      <c r="B55" s="13"/>
      <c r="C55" s="13"/>
      <c r="D55" s="13"/>
      <c r="E55" s="31"/>
      <c r="F55" s="15"/>
      <c r="G55" s="31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5">
        <f t="shared" si="41"/>
        <v>21.1</v>
      </c>
      <c r="AG55" s="143">
        <f t="shared" si="42"/>
        <v>43186</v>
      </c>
      <c r="AH55" s="33">
        <v>43186</v>
      </c>
      <c r="AI55" t="s">
        <v>190</v>
      </c>
      <c r="AJ55" s="15">
        <v>3.8035999999999999</v>
      </c>
      <c r="AK55" s="15">
        <f t="shared" si="40"/>
        <v>6.2999999999968637E-4</v>
      </c>
      <c r="AL55" s="35">
        <f>'26296'!AE5</f>
        <v>19.5</v>
      </c>
      <c r="AM55" s="35">
        <f>'26296'!AE22</f>
        <v>22.7</v>
      </c>
      <c r="AN55" s="51">
        <v>43160</v>
      </c>
      <c r="AO55">
        <v>3.8035999999999999</v>
      </c>
      <c r="AP55">
        <f t="shared" si="37"/>
        <v>1.7450000000041044E-4</v>
      </c>
      <c r="AQ55" s="19"/>
      <c r="AR55" s="15"/>
      <c r="AS55" s="15"/>
    </row>
    <row r="56" spans="2:45" x14ac:dyDescent="0.2">
      <c r="T56" s="15">
        <f t="shared" si="10"/>
        <v>0</v>
      </c>
      <c r="V56" s="15"/>
      <c r="W56" s="15"/>
      <c r="AF56" s="35">
        <f t="shared" si="41"/>
        <v>24.75</v>
      </c>
      <c r="AG56" s="143">
        <f t="shared" si="42"/>
        <v>43158</v>
      </c>
      <c r="AH56" s="33">
        <v>43158</v>
      </c>
      <c r="AI56" t="s">
        <v>144</v>
      </c>
      <c r="AJ56">
        <v>3.8037399999999999</v>
      </c>
      <c r="AK56" s="15">
        <f t="shared" si="40"/>
        <v>7.6999999999971536E-4</v>
      </c>
      <c r="AL56" s="35">
        <f>'26296'!X5</f>
        <v>24</v>
      </c>
      <c r="AM56" s="35">
        <f>'26296'!X22</f>
        <v>25.5</v>
      </c>
      <c r="AN56" s="51">
        <v>43132</v>
      </c>
      <c r="AO56">
        <v>3.8037399999999999</v>
      </c>
      <c r="AP56">
        <f t="shared" si="37"/>
        <v>3.1450000000043943E-4</v>
      </c>
    </row>
    <row r="57" spans="2:45" x14ac:dyDescent="0.2">
      <c r="T57" s="15">
        <f t="shared" si="10"/>
        <v>0</v>
      </c>
      <c r="V57" s="15"/>
      <c r="W57" s="15"/>
      <c r="AF57" s="35">
        <f t="shared" si="41"/>
        <v>24.75</v>
      </c>
      <c r="AG57" s="143">
        <f t="shared" si="42"/>
        <v>43157</v>
      </c>
      <c r="AH57" s="33">
        <v>43157</v>
      </c>
      <c r="AI57" t="s">
        <v>143</v>
      </c>
      <c r="AJ57">
        <v>3.8038099999999999</v>
      </c>
      <c r="AK57" s="15">
        <f t="shared" si="40"/>
        <v>8.3999999999972985E-4</v>
      </c>
      <c r="AL57" s="35">
        <f>'26296'!Q5</f>
        <v>24</v>
      </c>
      <c r="AM57" s="35">
        <f>'26296'!Q22</f>
        <v>25.5</v>
      </c>
      <c r="AN57" s="51">
        <v>43132</v>
      </c>
      <c r="AO57">
        <v>3.8038099999999999</v>
      </c>
      <c r="AP57">
        <f t="shared" si="37"/>
        <v>3.8450000000045392E-4</v>
      </c>
    </row>
    <row r="58" spans="2:45" x14ac:dyDescent="0.2">
      <c r="J58" s="25">
        <v>3.2872699999999999</v>
      </c>
      <c r="T58" s="15">
        <f t="shared" si="10"/>
        <v>0</v>
      </c>
      <c r="V58" s="15"/>
      <c r="W58" s="15"/>
      <c r="AF58" s="35">
        <f t="shared" si="41"/>
        <v>23</v>
      </c>
      <c r="AG58" s="143">
        <f t="shared" si="42"/>
        <v>43111</v>
      </c>
      <c r="AH58" s="33">
        <v>43111</v>
      </c>
      <c r="AI58" t="s">
        <v>37</v>
      </c>
      <c r="AJ58" s="15">
        <v>3.80375</v>
      </c>
      <c r="AK58" s="15">
        <f t="shared" si="40"/>
        <v>7.7999999999978087E-4</v>
      </c>
      <c r="AL58" s="35">
        <f>'26296'!J5</f>
        <v>22.4</v>
      </c>
      <c r="AM58" s="35">
        <f>'26296'!J22</f>
        <v>23.6</v>
      </c>
      <c r="AN58" s="51">
        <v>43101</v>
      </c>
      <c r="AO58">
        <v>3.80375</v>
      </c>
      <c r="AP58">
        <f t="shared" si="37"/>
        <v>3.2450000000050494E-4</v>
      </c>
    </row>
    <row r="59" spans="2:45" x14ac:dyDescent="0.2">
      <c r="T59" s="15">
        <f t="shared" si="10"/>
        <v>0</v>
      </c>
      <c r="V59" s="15"/>
      <c r="W59" s="15"/>
      <c r="AF59" s="35">
        <f t="shared" si="41"/>
        <v>23.4</v>
      </c>
      <c r="AG59" s="143">
        <f t="shared" si="42"/>
        <v>43027</v>
      </c>
      <c r="AH59" s="33">
        <v>43027</v>
      </c>
      <c r="AI59" t="s">
        <v>52</v>
      </c>
      <c r="AJ59" s="15">
        <v>3.80314</v>
      </c>
      <c r="AK59" s="15">
        <f t="shared" si="40"/>
        <v>1.6999999999978144E-4</v>
      </c>
      <c r="AL59" s="35">
        <f>'26296'!C5</f>
        <v>24.2</v>
      </c>
      <c r="AM59" s="35">
        <f>'26296'!C22</f>
        <v>22.6</v>
      </c>
      <c r="AN59" s="51">
        <v>43009</v>
      </c>
      <c r="AO59">
        <v>3.80314</v>
      </c>
      <c r="AP59">
        <f t="shared" si="37"/>
        <v>-2.8549999999949449E-4</v>
      </c>
    </row>
    <row r="60" spans="2:45" x14ac:dyDescent="0.2">
      <c r="T60" s="15">
        <f t="shared" si="10"/>
        <v>0</v>
      </c>
      <c r="V60" s="15"/>
      <c r="W60" s="15"/>
      <c r="AG60" s="143">
        <f t="shared" si="42"/>
        <v>42054</v>
      </c>
      <c r="AH60" s="33">
        <v>42054</v>
      </c>
      <c r="AI60" t="s">
        <v>46</v>
      </c>
      <c r="AJ60" s="15">
        <v>3.8037800000000002</v>
      </c>
      <c r="AK60" s="15">
        <f t="shared" si="40"/>
        <v>8.099999999999774E-4</v>
      </c>
      <c r="AL60" s="35"/>
      <c r="AM60" s="35"/>
    </row>
    <row r="61" spans="2:45" x14ac:dyDescent="0.2">
      <c r="T61" s="15">
        <f t="shared" si="10"/>
        <v>0</v>
      </c>
      <c r="V61" s="15"/>
      <c r="W61" s="15"/>
      <c r="AG61" s="143">
        <f t="shared" si="42"/>
        <v>41422</v>
      </c>
      <c r="AH61" s="33">
        <v>41422</v>
      </c>
      <c r="AI61" t="s">
        <v>79</v>
      </c>
      <c r="AJ61" s="15">
        <v>3.8031199999999998</v>
      </c>
      <c r="AK61" s="15">
        <f t="shared" si="40"/>
        <v>1.4999999999965041E-4</v>
      </c>
      <c r="AL61" s="35"/>
      <c r="AM61" s="35"/>
    </row>
    <row r="62" spans="2:45" x14ac:dyDescent="0.2">
      <c r="T62" s="15">
        <f t="shared" si="10"/>
        <v>0</v>
      </c>
      <c r="V62" s="15"/>
      <c r="W62" s="15"/>
      <c r="AG62" s="143">
        <f t="shared" si="42"/>
        <v>40595</v>
      </c>
      <c r="AH62" s="33">
        <v>40595</v>
      </c>
      <c r="AI62" t="s">
        <v>32</v>
      </c>
      <c r="AJ62" s="15">
        <v>3.8037000000000001</v>
      </c>
      <c r="AK62" s="15">
        <f t="shared" si="40"/>
        <v>7.299999999998974E-4</v>
      </c>
      <c r="AL62" s="35"/>
      <c r="AM62" s="35"/>
    </row>
    <row r="63" spans="2:45" x14ac:dyDescent="0.2">
      <c r="T63" s="15">
        <f t="shared" si="10"/>
        <v>0</v>
      </c>
      <c r="V63" s="15"/>
      <c r="W63" s="15"/>
      <c r="AG63" s="143">
        <f t="shared" si="42"/>
        <v>39841</v>
      </c>
      <c r="AH63" s="33">
        <v>39841</v>
      </c>
      <c r="AI63" t="s">
        <v>80</v>
      </c>
      <c r="AJ63" s="15">
        <v>3.80389</v>
      </c>
      <c r="AK63" s="15">
        <f t="shared" si="40"/>
        <v>9.1999999999980986E-4</v>
      </c>
      <c r="AL63" s="35"/>
      <c r="AM63" s="35"/>
    </row>
    <row r="64" spans="2:45" x14ac:dyDescent="0.2">
      <c r="T64" s="15">
        <f t="shared" si="10"/>
        <v>0</v>
      </c>
      <c r="V64" s="15"/>
      <c r="W64" s="15"/>
      <c r="AG64" s="143">
        <f t="shared" si="42"/>
        <v>39288</v>
      </c>
      <c r="AH64" s="33">
        <v>39288</v>
      </c>
      <c r="AI64" t="s">
        <v>81</v>
      </c>
      <c r="AJ64" s="15">
        <v>3.8029700000000002</v>
      </c>
      <c r="AK64" s="15">
        <f t="shared" si="40"/>
        <v>0</v>
      </c>
      <c r="AL64" s="35"/>
      <c r="AM64" s="35"/>
    </row>
    <row r="65" spans="20:41" x14ac:dyDescent="0.2">
      <c r="T65" s="15">
        <f t="shared" si="10"/>
        <v>0</v>
      </c>
      <c r="V65" s="15"/>
      <c r="W65" s="15"/>
      <c r="AG65" s="143">
        <f t="shared" si="42"/>
        <v>37427</v>
      </c>
      <c r="AH65" s="33">
        <v>37427</v>
      </c>
      <c r="AI65" t="s">
        <v>82</v>
      </c>
      <c r="AJ65" s="15">
        <v>3.8029999999999999</v>
      </c>
      <c r="AK65" s="15">
        <f t="shared" si="40"/>
        <v>2.9999999999752447E-5</v>
      </c>
      <c r="AL65" s="35"/>
      <c r="AM65" s="35"/>
    </row>
    <row r="66" spans="20:41" x14ac:dyDescent="0.2">
      <c r="T66" s="15">
        <f t="shared" si="10"/>
        <v>0</v>
      </c>
      <c r="V66" s="15"/>
      <c r="W66" s="15"/>
      <c r="AG66" s="143">
        <f t="shared" si="42"/>
        <v>37350</v>
      </c>
      <c r="AH66" s="33">
        <v>37350</v>
      </c>
      <c r="AI66" t="s">
        <v>83</v>
      </c>
      <c r="AJ66" s="15">
        <v>3.8039000000000001</v>
      </c>
      <c r="AK66" s="15">
        <f>AJ66-$AJ$64</f>
        <v>9.2999999999987537E-4</v>
      </c>
      <c r="AL66" s="35"/>
      <c r="AM66" s="35"/>
      <c r="AO66" s="15">
        <f>MIN(AJ51:AJ66)</f>
        <v>3.8029700000000002</v>
      </c>
    </row>
    <row r="67" spans="20:41" x14ac:dyDescent="0.2">
      <c r="AK67" s="15">
        <f>AVERAGE(AK50:AK64,AK65:AK66)</f>
        <v>4.8352941176452987E-4</v>
      </c>
    </row>
    <row r="90" spans="25:41" x14ac:dyDescent="0.2">
      <c r="AB90" s="37" t="s">
        <v>195</v>
      </c>
    </row>
    <row r="95" spans="25:41" ht="15.75" thickBot="1" x14ac:dyDescent="0.25">
      <c r="AG95" t="s">
        <v>209</v>
      </c>
      <c r="AL95" t="s">
        <v>212</v>
      </c>
      <c r="AN95" t="s">
        <v>215</v>
      </c>
    </row>
    <row r="96" spans="25:41" ht="15.75" thickBot="1" x14ac:dyDescent="0.25">
      <c r="Y96" s="17" t="s">
        <v>80</v>
      </c>
      <c r="Z96" s="17" t="s">
        <v>130</v>
      </c>
      <c r="AA96" s="28" t="s">
        <v>131</v>
      </c>
      <c r="AB96" s="13" t="s">
        <v>116</v>
      </c>
      <c r="AC96">
        <v>332173</v>
      </c>
      <c r="AG96" t="s">
        <v>197</v>
      </c>
      <c r="AH96" s="14">
        <v>9.2000000000000003E-4</v>
      </c>
      <c r="AI96">
        <v>7.7999999999999999E-4</v>
      </c>
      <c r="AJ96">
        <v>7.1000000000000002E-4</v>
      </c>
      <c r="AL96" s="14">
        <f>AVERAGE(AH96:AK96)</f>
        <v>8.0333333333333342E-4</v>
      </c>
      <c r="AN96" s="39">
        <v>31.7</v>
      </c>
      <c r="AO96" s="39">
        <v>31.2</v>
      </c>
    </row>
    <row r="97" spans="2:45" ht="15.75" thickBot="1" x14ac:dyDescent="0.25">
      <c r="Z97" s="17" t="s">
        <v>124</v>
      </c>
      <c r="AA97" s="28" t="s">
        <v>132</v>
      </c>
      <c r="AB97" s="13" t="s">
        <v>117</v>
      </c>
      <c r="AG97" t="s">
        <v>198</v>
      </c>
      <c r="AH97" s="14">
        <v>7.6999999999999996E-4</v>
      </c>
      <c r="AI97">
        <v>8.4000000000000003E-4</v>
      </c>
      <c r="AJ97">
        <v>8.0999999999999996E-4</v>
      </c>
      <c r="AK97">
        <v>7.2999999999999996E-4</v>
      </c>
      <c r="AL97" s="14">
        <f t="shared" ref="AL97:AL103" si="43">AVERAGE(AH97:AK97)</f>
        <v>7.8750000000000001E-4</v>
      </c>
      <c r="AN97" s="39">
        <v>30.8</v>
      </c>
      <c r="AO97" s="39">
        <v>31.6</v>
      </c>
    </row>
    <row r="98" spans="2:45" ht="15.75" thickBot="1" x14ac:dyDescent="0.25">
      <c r="Y98" s="17" t="s">
        <v>32</v>
      </c>
      <c r="Z98" s="17" t="s">
        <v>125</v>
      </c>
      <c r="AA98" s="25" t="s">
        <v>128</v>
      </c>
      <c r="AB98" s="13" t="s">
        <v>116</v>
      </c>
      <c r="AC98">
        <v>332173</v>
      </c>
      <c r="AG98" t="s">
        <v>199</v>
      </c>
      <c r="AH98" s="14">
        <v>6.3000000000000003E-4</v>
      </c>
      <c r="AI98">
        <v>7.6000000000000004E-4</v>
      </c>
      <c r="AL98" s="14">
        <f t="shared" si="43"/>
        <v>6.9500000000000009E-4</v>
      </c>
      <c r="AN98" s="39">
        <v>30.5</v>
      </c>
      <c r="AO98" s="39">
        <v>29.6</v>
      </c>
    </row>
    <row r="99" spans="2:45" ht="15.75" thickBot="1" x14ac:dyDescent="0.25">
      <c r="B99" s="32" t="s">
        <v>165</v>
      </c>
      <c r="C99" s="32"/>
      <c r="D99" s="32"/>
      <c r="E99" s="32"/>
      <c r="F99" s="32"/>
      <c r="G99" s="32" t="s">
        <v>170</v>
      </c>
      <c r="Z99" s="17" t="s">
        <v>126</v>
      </c>
      <c r="AA99" s="25" t="s">
        <v>129</v>
      </c>
      <c r="AB99" s="13" t="s">
        <v>117</v>
      </c>
      <c r="AG99" t="s">
        <v>200</v>
      </c>
      <c r="AH99" s="14">
        <v>4.0999999999999999E-4</v>
      </c>
      <c r="AL99" s="14">
        <f t="shared" si="43"/>
        <v>4.0999999999999999E-4</v>
      </c>
      <c r="AN99" s="39">
        <v>26.5</v>
      </c>
      <c r="AO99" s="39">
        <v>25.9</v>
      </c>
    </row>
    <row r="100" spans="2:45" ht="15.75" thickBot="1" x14ac:dyDescent="0.25">
      <c r="B100" s="32" t="s">
        <v>166</v>
      </c>
      <c r="C100" s="32"/>
      <c r="D100" s="32"/>
      <c r="E100" s="32"/>
      <c r="F100" s="32"/>
      <c r="G100" s="32" t="s">
        <v>170</v>
      </c>
      <c r="Y100" s="17" t="s">
        <v>79</v>
      </c>
      <c r="Z100" s="26" t="s">
        <v>118</v>
      </c>
      <c r="AA100" s="27" t="s">
        <v>122</v>
      </c>
      <c r="AB100" s="29" t="s">
        <v>116</v>
      </c>
      <c r="AC100">
        <v>332173</v>
      </c>
      <c r="AG100" t="s">
        <v>201</v>
      </c>
      <c r="AH100" s="14">
        <v>1.4999999999999999E-4</v>
      </c>
      <c r="AL100" s="14">
        <f t="shared" si="43"/>
        <v>1.4999999999999999E-4</v>
      </c>
      <c r="AN100" s="39">
        <v>24.2</v>
      </c>
      <c r="AO100" s="39">
        <v>22.3</v>
      </c>
    </row>
    <row r="101" spans="2:45" ht="15.75" thickBot="1" x14ac:dyDescent="0.25">
      <c r="B101" s="32" t="s">
        <v>167</v>
      </c>
      <c r="C101" s="32"/>
      <c r="D101" s="32"/>
      <c r="E101" s="32"/>
      <c r="F101" s="32"/>
      <c r="G101" s="32" t="s">
        <v>170</v>
      </c>
      <c r="Z101" s="26" t="s">
        <v>119</v>
      </c>
      <c r="AA101" s="27" t="s">
        <v>123</v>
      </c>
      <c r="AB101" s="29" t="s">
        <v>117</v>
      </c>
      <c r="AG101" t="s">
        <v>202</v>
      </c>
      <c r="AH101" s="14">
        <v>5.0000000000000002E-5</v>
      </c>
      <c r="AI101">
        <v>3.0000000000000001E-5</v>
      </c>
      <c r="AL101" s="14">
        <f t="shared" si="43"/>
        <v>4.0000000000000003E-5</v>
      </c>
      <c r="AN101" s="39">
        <v>19.3</v>
      </c>
      <c r="AO101" s="39">
        <v>19.399999999999999</v>
      </c>
    </row>
    <row r="102" spans="2:45" ht="15.75" thickBot="1" x14ac:dyDescent="0.25">
      <c r="B102" s="32" t="s">
        <v>168</v>
      </c>
      <c r="C102" s="32"/>
      <c r="D102" s="32"/>
      <c r="E102" s="32"/>
      <c r="F102" s="32"/>
      <c r="G102" s="32" t="s">
        <v>170</v>
      </c>
      <c r="Z102" s="26" t="s">
        <v>120</v>
      </c>
      <c r="AA102" s="27" t="s">
        <v>121</v>
      </c>
      <c r="AB102" s="29" t="s">
        <v>115</v>
      </c>
      <c r="AG102" t="s">
        <v>203</v>
      </c>
      <c r="AH102" s="14">
        <v>0</v>
      </c>
      <c r="AL102" s="14">
        <f t="shared" si="43"/>
        <v>0</v>
      </c>
      <c r="AN102" s="39">
        <v>19.100000000000001</v>
      </c>
      <c r="AO102" s="39">
        <v>18.399999999999999</v>
      </c>
    </row>
    <row r="103" spans="2:45" ht="15.75" thickBot="1" x14ac:dyDescent="0.25">
      <c r="B103" s="32" t="s">
        <v>169</v>
      </c>
      <c r="C103" s="32"/>
      <c r="D103" s="32"/>
      <c r="E103" s="32"/>
      <c r="F103" s="32"/>
      <c r="G103" s="32" t="s">
        <v>170</v>
      </c>
      <c r="Y103" s="17" t="s">
        <v>46</v>
      </c>
      <c r="Z103" s="17" t="s">
        <v>110</v>
      </c>
      <c r="AA103" s="25" t="s">
        <v>113</v>
      </c>
      <c r="AB103" s="13" t="s">
        <v>116</v>
      </c>
      <c r="AC103">
        <v>332164</v>
      </c>
      <c r="AG103" t="s">
        <v>204</v>
      </c>
      <c r="AH103" s="14">
        <v>3.0000000000000001E-5</v>
      </c>
      <c r="AL103" s="14">
        <f t="shared" si="43"/>
        <v>3.0000000000000001E-5</v>
      </c>
      <c r="AN103" s="39">
        <v>18.5</v>
      </c>
      <c r="AO103" s="39">
        <v>19</v>
      </c>
    </row>
    <row r="104" spans="2:45" ht="15.75" thickBot="1" x14ac:dyDescent="0.25">
      <c r="Z104" s="17" t="s">
        <v>111</v>
      </c>
      <c r="AA104" s="25">
        <v>3.8037200000000002</v>
      </c>
      <c r="AB104" s="13" t="s">
        <v>117</v>
      </c>
      <c r="AG104" t="s">
        <v>205</v>
      </c>
      <c r="AH104" s="14"/>
      <c r="AL104" s="14">
        <f>(AL103+AL105)/2</f>
        <v>1.2E-4</v>
      </c>
      <c r="AM104" t="s">
        <v>210</v>
      </c>
      <c r="AN104" s="39">
        <v>20.6</v>
      </c>
      <c r="AO104" s="39">
        <v>20.3</v>
      </c>
    </row>
    <row r="105" spans="2:45" ht="15.75" thickBot="1" x14ac:dyDescent="0.25">
      <c r="Z105" s="17" t="s">
        <v>112</v>
      </c>
      <c r="AA105" s="25">
        <v>3.8037100000000001</v>
      </c>
      <c r="AB105" s="13" t="s">
        <v>115</v>
      </c>
      <c r="AG105" t="s">
        <v>206</v>
      </c>
      <c r="AH105" s="14">
        <v>2.5000000000000001E-4</v>
      </c>
      <c r="AI105">
        <v>1.7000000000000001E-4</v>
      </c>
      <c r="AL105" s="14">
        <f>AVERAGE(AH105:AK105)</f>
        <v>2.1000000000000001E-4</v>
      </c>
      <c r="AN105" s="39">
        <v>23.8</v>
      </c>
      <c r="AO105" s="39">
        <v>23.4</v>
      </c>
    </row>
    <row r="106" spans="2:45" ht="15.75" thickBot="1" x14ac:dyDescent="0.25">
      <c r="Y106" s="17" t="s">
        <v>127</v>
      </c>
      <c r="Z106" s="26" t="s">
        <v>84</v>
      </c>
      <c r="AA106" s="27" t="s">
        <v>85</v>
      </c>
      <c r="AB106" s="29" t="s">
        <v>117</v>
      </c>
      <c r="AC106">
        <v>332164</v>
      </c>
      <c r="AG106" t="s">
        <v>207</v>
      </c>
      <c r="AH106" s="14"/>
      <c r="AL106" s="14">
        <f>(AL105+AL107)/2</f>
        <v>4.6499999999991595E-4</v>
      </c>
      <c r="AN106" s="40">
        <v>25.7</v>
      </c>
      <c r="AO106" s="39">
        <v>26.8</v>
      </c>
    </row>
    <row r="107" spans="2:45" ht="15.75" thickBot="1" x14ac:dyDescent="0.25">
      <c r="Z107" s="26" t="s">
        <v>87</v>
      </c>
      <c r="AA107" s="27" t="s">
        <v>86</v>
      </c>
      <c r="AB107" s="29" t="s">
        <v>115</v>
      </c>
      <c r="AG107" t="s">
        <v>208</v>
      </c>
      <c r="AH107" s="14">
        <v>7.1999999999983189E-4</v>
      </c>
      <c r="AL107" s="14">
        <f>AH107</f>
        <v>7.1999999999983189E-4</v>
      </c>
      <c r="AM107" t="s">
        <v>210</v>
      </c>
      <c r="AN107" s="40">
        <v>30.6</v>
      </c>
      <c r="AO107" s="39">
        <v>29.1</v>
      </c>
    </row>
    <row r="108" spans="2:45" x14ac:dyDescent="0.2">
      <c r="Z108" s="26" t="s">
        <v>88</v>
      </c>
      <c r="AA108" s="27">
        <v>3.80315</v>
      </c>
      <c r="AB108" s="29" t="s">
        <v>116</v>
      </c>
    </row>
    <row r="109" spans="2:45" x14ac:dyDescent="0.2">
      <c r="Z109" s="17" t="s">
        <v>37</v>
      </c>
      <c r="AA109" s="25" t="s">
        <v>114</v>
      </c>
      <c r="AB109" s="13" t="s">
        <v>115</v>
      </c>
      <c r="AC109">
        <v>344766</v>
      </c>
      <c r="AP109" s="38"/>
      <c r="AR109" s="15"/>
      <c r="AS109" s="15"/>
    </row>
    <row r="110" spans="2:45" x14ac:dyDescent="0.2">
      <c r="AP110" s="38"/>
      <c r="AR110" s="15"/>
      <c r="AS110" s="15"/>
    </row>
    <row r="111" spans="2:45" x14ac:dyDescent="0.2">
      <c r="AP111" s="38"/>
      <c r="AR111" s="15"/>
      <c r="AS111" s="15"/>
    </row>
    <row r="112" spans="2:45" x14ac:dyDescent="0.2">
      <c r="AP112" s="38"/>
      <c r="AR112" s="15"/>
      <c r="AS112" s="15"/>
    </row>
    <row r="113" spans="42:45" x14ac:dyDescent="0.2">
      <c r="AP113" s="38"/>
      <c r="AR113" s="15"/>
      <c r="AS113" s="15"/>
    </row>
    <row r="114" spans="42:45" x14ac:dyDescent="0.2">
      <c r="AP114" s="38"/>
      <c r="AR114" s="15"/>
      <c r="AS114" s="15"/>
    </row>
    <row r="115" spans="42:45" x14ac:dyDescent="0.2">
      <c r="AP115" s="38"/>
      <c r="AR115" s="15"/>
      <c r="AS115" s="15"/>
    </row>
    <row r="116" spans="42:45" x14ac:dyDescent="0.2">
      <c r="AP116" s="38"/>
      <c r="AR116" s="15"/>
      <c r="AS116" s="15"/>
    </row>
    <row r="117" spans="42:45" x14ac:dyDescent="0.2">
      <c r="AP117" s="38"/>
      <c r="AR117" s="15"/>
      <c r="AS117" s="15"/>
    </row>
    <row r="118" spans="42:45" x14ac:dyDescent="0.2">
      <c r="AP118" s="38"/>
      <c r="AR118" s="15"/>
      <c r="AS118" s="15"/>
    </row>
    <row r="119" spans="42:45" x14ac:dyDescent="0.2">
      <c r="AP119" s="38"/>
      <c r="AR119" s="15"/>
      <c r="AS119" s="15"/>
    </row>
    <row r="120" spans="42:45" x14ac:dyDescent="0.2">
      <c r="AP120" s="38"/>
      <c r="AR120" s="15"/>
      <c r="AS120" s="15"/>
    </row>
    <row r="121" spans="42:45" x14ac:dyDescent="0.2">
      <c r="AP121" s="38"/>
      <c r="AR121" s="15"/>
      <c r="AS121" s="15"/>
    </row>
    <row r="122" spans="42:45" x14ac:dyDescent="0.2">
      <c r="AP122" s="38"/>
      <c r="AR122" s="15"/>
      <c r="AS122" s="15"/>
    </row>
    <row r="123" spans="42:45" x14ac:dyDescent="0.2">
      <c r="AP123" s="38"/>
      <c r="AR123" s="15"/>
      <c r="AS123" s="15"/>
    </row>
    <row r="124" spans="42:45" x14ac:dyDescent="0.2">
      <c r="AP124" s="38"/>
      <c r="AR124" s="15"/>
      <c r="AS124" s="15"/>
    </row>
    <row r="131" spans="25:37" ht="15.75" thickBot="1" x14ac:dyDescent="0.25">
      <c r="Y131" t="s">
        <v>197</v>
      </c>
      <c r="Z131" t="s">
        <v>198</v>
      </c>
      <c r="AA131" t="s">
        <v>199</v>
      </c>
      <c r="AB131" t="s">
        <v>200</v>
      </c>
      <c r="AC131" t="s">
        <v>201</v>
      </c>
      <c r="AD131" t="s">
        <v>202</v>
      </c>
      <c r="AE131" t="s">
        <v>203</v>
      </c>
      <c r="AF131" t="s">
        <v>204</v>
      </c>
      <c r="AG131" t="s">
        <v>205</v>
      </c>
      <c r="AH131" t="s">
        <v>206</v>
      </c>
      <c r="AI131" t="s">
        <v>207</v>
      </c>
      <c r="AJ131" t="s">
        <v>208</v>
      </c>
    </row>
    <row r="132" spans="25:37" ht="15.75" thickBot="1" x14ac:dyDescent="0.25">
      <c r="Y132" s="39">
        <v>31.2</v>
      </c>
      <c r="Z132" s="39">
        <v>31.6</v>
      </c>
      <c r="AA132" s="39">
        <v>29.6</v>
      </c>
      <c r="AB132" s="39">
        <v>25.9</v>
      </c>
      <c r="AC132" s="39">
        <v>22.3</v>
      </c>
      <c r="AD132" s="39">
        <v>19.399999999999999</v>
      </c>
      <c r="AE132" s="39">
        <v>18.399999999999999</v>
      </c>
      <c r="AF132" s="39">
        <v>19</v>
      </c>
      <c r="AG132" s="39">
        <v>20.3</v>
      </c>
      <c r="AH132" s="39">
        <v>23.4</v>
      </c>
      <c r="AI132" s="39">
        <v>26.8</v>
      </c>
      <c r="AJ132" s="39">
        <v>29.1</v>
      </c>
      <c r="AK132" s="40" t="s">
        <v>214</v>
      </c>
    </row>
    <row r="133" spans="25:37" ht="15.75" thickBot="1" x14ac:dyDescent="0.25">
      <c r="Y133" s="39">
        <v>31.7</v>
      </c>
      <c r="Z133" s="39">
        <v>30.8</v>
      </c>
      <c r="AA133" s="39">
        <v>30.5</v>
      </c>
      <c r="AB133" s="39">
        <v>26.5</v>
      </c>
      <c r="AC133" s="39">
        <v>24.2</v>
      </c>
      <c r="AD133" s="39">
        <v>19.3</v>
      </c>
      <c r="AE133" s="39">
        <v>19.100000000000001</v>
      </c>
      <c r="AF133" s="39">
        <v>18.5</v>
      </c>
      <c r="AG133" s="39">
        <v>20.6</v>
      </c>
      <c r="AH133" s="39">
        <v>23.8</v>
      </c>
      <c r="AI133" s="39">
        <v>25.7</v>
      </c>
      <c r="AJ133" s="39">
        <v>29.1</v>
      </c>
      <c r="AK133" s="40">
        <v>2018</v>
      </c>
    </row>
    <row r="158" spans="32:37" x14ac:dyDescent="0.2">
      <c r="AF158" t="s">
        <v>209</v>
      </c>
      <c r="AG158" t="s">
        <v>212</v>
      </c>
    </row>
    <row r="159" spans="32:37" x14ac:dyDescent="0.2">
      <c r="AF159" s="140" t="s">
        <v>197</v>
      </c>
      <c r="AG159" s="14">
        <v>7.1000000000000002E-4</v>
      </c>
      <c r="AK159" s="14"/>
    </row>
    <row r="160" spans="32:37" x14ac:dyDescent="0.2">
      <c r="AF160" s="140" t="s">
        <v>198</v>
      </c>
      <c r="AG160" s="14">
        <v>8.7000000000000001E-4</v>
      </c>
      <c r="AK160" s="14"/>
    </row>
    <row r="161" spans="32:37" x14ac:dyDescent="0.2">
      <c r="AF161" s="140" t="s">
        <v>199</v>
      </c>
      <c r="AG161" s="14">
        <v>7.6000000000000004E-4</v>
      </c>
      <c r="AK161" s="14"/>
    </row>
    <row r="162" spans="32:37" x14ac:dyDescent="0.2">
      <c r="AF162" s="140" t="s">
        <v>200</v>
      </c>
      <c r="AG162" s="14">
        <f>(AG161+AG163)/2</f>
        <v>3.7499999999996726E-4</v>
      </c>
      <c r="AK162" s="14"/>
    </row>
    <row r="163" spans="32:37" x14ac:dyDescent="0.2">
      <c r="AF163" s="140" t="s">
        <v>201</v>
      </c>
      <c r="AG163" s="14">
        <f>AK46</f>
        <v>-1.0000000000065512E-5</v>
      </c>
      <c r="AK163" s="14"/>
    </row>
    <row r="164" spans="32:37" x14ac:dyDescent="0.2">
      <c r="AF164" s="140" t="s">
        <v>202</v>
      </c>
      <c r="AG164">
        <f>(AG163+AG165)/2</f>
        <v>1.4499999999983976E-4</v>
      </c>
      <c r="AK164" s="14"/>
    </row>
    <row r="165" spans="32:37" x14ac:dyDescent="0.2">
      <c r="AF165" s="140" t="s">
        <v>203</v>
      </c>
      <c r="AG165" s="14">
        <v>2.9999999999974502E-4</v>
      </c>
      <c r="AK165" s="14"/>
    </row>
    <row r="166" spans="32:37" x14ac:dyDescent="0.2">
      <c r="AF166" s="140" t="s">
        <v>204</v>
      </c>
      <c r="AG166" s="15">
        <v>-6.0000000000393072E-5</v>
      </c>
      <c r="AK166" s="14"/>
    </row>
    <row r="167" spans="32:37" x14ac:dyDescent="0.2">
      <c r="AF167" s="140" t="s">
        <v>205</v>
      </c>
      <c r="AG167" s="14">
        <v>2.1999999999966491E-4</v>
      </c>
      <c r="AK167" s="14"/>
    </row>
    <row r="168" spans="32:37" x14ac:dyDescent="0.2">
      <c r="AF168" s="140" t="s">
        <v>206</v>
      </c>
      <c r="AG168" s="14">
        <f>AK42</f>
        <v>3.4999999999962839E-4</v>
      </c>
      <c r="AK168" s="14"/>
    </row>
    <row r="169" spans="32:37" x14ac:dyDescent="0.2">
      <c r="AF169" s="140" t="s">
        <v>207</v>
      </c>
      <c r="AG169" s="14">
        <v>6.1999999999962085E-4</v>
      </c>
      <c r="AK169" s="14"/>
    </row>
    <row r="170" spans="32:37" x14ac:dyDescent="0.2">
      <c r="AF170" s="140" t="s">
        <v>208</v>
      </c>
      <c r="AG170" s="15">
        <v>6.9999999999970086E-4</v>
      </c>
      <c r="AK170" s="14"/>
    </row>
    <row r="171" spans="32:37" x14ac:dyDescent="0.2">
      <c r="AF171" s="140" t="s">
        <v>199</v>
      </c>
      <c r="AG171">
        <v>6.3999999999975188E-4</v>
      </c>
    </row>
    <row r="172" spans="32:37" x14ac:dyDescent="0.2">
      <c r="AF172" s="140" t="s">
        <v>200</v>
      </c>
      <c r="AG172">
        <v>5.8999999999986841E-4</v>
      </c>
      <c r="AH172" s="42"/>
    </row>
    <row r="173" spans="32:37" x14ac:dyDescent="0.2">
      <c r="AF173" s="141" t="s">
        <v>201</v>
      </c>
      <c r="AG173">
        <v>2.1999999999966491E-4</v>
      </c>
      <c r="AH173" s="42"/>
    </row>
    <row r="174" spans="32:37" x14ac:dyDescent="0.2">
      <c r="AF174" s="141" t="s">
        <v>267</v>
      </c>
      <c r="AG174">
        <v>-3.0000000000196536E-5</v>
      </c>
    </row>
    <row r="175" spans="32:37" x14ac:dyDescent="0.2">
      <c r="AF175" s="141" t="s">
        <v>267</v>
      </c>
      <c r="AG175">
        <v>3.9999999999817959E-5</v>
      </c>
    </row>
    <row r="176" spans="32:37" x14ac:dyDescent="0.2">
      <c r="AF176" s="141" t="s">
        <v>396</v>
      </c>
      <c r="AG176">
        <v>-1.0000000000065512E-5</v>
      </c>
    </row>
    <row r="177" spans="32:33" x14ac:dyDescent="0.2">
      <c r="AF177" s="141" t="s">
        <v>396</v>
      </c>
      <c r="AG177">
        <v>2.9999999999752447E-5</v>
      </c>
    </row>
    <row r="178" spans="32:33" x14ac:dyDescent="0.2">
      <c r="AF178" s="141" t="s">
        <v>204</v>
      </c>
      <c r="AG178" s="15">
        <f>AK32</f>
        <v>-1.4000000000002899E-4</v>
      </c>
    </row>
    <row r="179" spans="32:33" x14ac:dyDescent="0.2">
      <c r="AF179" s="141" t="s">
        <v>205</v>
      </c>
      <c r="AG179" s="15">
        <f>AK31</f>
        <v>1.1999999999989797E-4</v>
      </c>
    </row>
    <row r="180" spans="32:33" x14ac:dyDescent="0.2">
      <c r="AF180" s="20">
        <f>AG30</f>
        <v>44152</v>
      </c>
      <c r="AG180" s="15">
        <f>AK30</f>
        <v>4.8000000000003595E-4</v>
      </c>
    </row>
    <row r="181" spans="32:33" x14ac:dyDescent="0.2">
      <c r="AF181" s="20">
        <f>AG29</f>
        <v>44208</v>
      </c>
      <c r="AG181" s="15">
        <f>AK29</f>
        <v>9.6999999999969333E-4</v>
      </c>
    </row>
    <row r="182" spans="32:33" x14ac:dyDescent="0.2">
      <c r="AF182" s="20">
        <f>AG28</f>
        <v>44363</v>
      </c>
      <c r="AG182" s="15">
        <f>AK28</f>
        <v>1.0999999999983245E-4</v>
      </c>
    </row>
  </sheetData>
  <phoneticPr fontId="6" type="noConversion"/>
  <pageMargins left="0.7" right="0.7" top="0.75" bottom="0.75" header="0.3" footer="0.3"/>
  <pageSetup scale="92" orientation="portrait" r:id="rId1"/>
  <ignoredErrors>
    <ignoredError sqref="AB100:AB109 AA106:AA108 AA103 AA100:AA102 AA104:AA105 AA109 AA98:AA99 AB98:AB99 AA96:AB97 G4 G5:G8" numberStoredAsText="1"/>
    <ignoredError sqref="Y4:Y23 AL104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7"/>
  <sheetViews>
    <sheetView zoomScale="66" zoomScaleNormal="66" workbookViewId="0">
      <selection activeCell="X41" sqref="X41"/>
    </sheetView>
  </sheetViews>
  <sheetFormatPr defaultRowHeight="15" x14ac:dyDescent="0.2"/>
  <cols>
    <col min="2" max="2" width="9.88671875" bestFit="1" customWidth="1"/>
    <col min="6" max="6" width="11.44140625" bestFit="1" customWidth="1"/>
    <col min="10" max="10" width="9.88671875" bestFit="1" customWidth="1"/>
    <col min="12" max="12" width="9.88671875" bestFit="1" customWidth="1"/>
    <col min="13" max="13" width="12" bestFit="1" customWidth="1"/>
  </cols>
  <sheetData>
    <row r="1" spans="1:22" x14ac:dyDescent="0.2">
      <c r="B1" s="13" t="s">
        <v>37</v>
      </c>
    </row>
    <row r="2" spans="1:22" x14ac:dyDescent="0.2">
      <c r="A2" s="18"/>
      <c r="B2" s="18">
        <v>43111</v>
      </c>
      <c r="C2" s="18"/>
      <c r="D2" s="18">
        <v>43045</v>
      </c>
      <c r="E2" s="18"/>
      <c r="F2" s="22">
        <v>43045</v>
      </c>
      <c r="H2" t="s">
        <v>46</v>
      </c>
      <c r="I2" t="s">
        <v>52</v>
      </c>
      <c r="L2" t="s">
        <v>36</v>
      </c>
      <c r="U2" t="s">
        <v>45</v>
      </c>
    </row>
    <row r="3" spans="1:22" x14ac:dyDescent="0.2">
      <c r="A3" s="13"/>
      <c r="B3">
        <v>26296</v>
      </c>
      <c r="C3" s="13" t="s">
        <v>36</v>
      </c>
      <c r="D3" s="13" t="s">
        <v>42</v>
      </c>
      <c r="E3" s="1" t="s">
        <v>36</v>
      </c>
      <c r="F3" s="13" t="s">
        <v>44</v>
      </c>
      <c r="G3" s="13" t="s">
        <v>36</v>
      </c>
      <c r="H3" s="13" t="s">
        <v>36</v>
      </c>
      <c r="I3" s="1" t="s">
        <v>36</v>
      </c>
      <c r="J3" s="1"/>
      <c r="K3" s="1" t="s">
        <v>47</v>
      </c>
      <c r="L3" s="1" t="s">
        <v>48</v>
      </c>
      <c r="M3" s="1" t="s">
        <v>49</v>
      </c>
      <c r="N3" s="1" t="s">
        <v>50</v>
      </c>
      <c r="O3" s="1" t="s">
        <v>51</v>
      </c>
      <c r="P3" s="1" t="s">
        <v>53</v>
      </c>
      <c r="Q3" s="1" t="s">
        <v>54</v>
      </c>
      <c r="R3" s="1" t="s">
        <v>50</v>
      </c>
      <c r="S3" s="1" t="s">
        <v>55</v>
      </c>
    </row>
    <row r="4" spans="1:22" x14ac:dyDescent="0.2">
      <c r="A4" s="17" t="s">
        <v>9</v>
      </c>
      <c r="B4" s="15">
        <v>9.0889999999999999E-2</v>
      </c>
      <c r="C4" s="15">
        <f>B4</f>
        <v>9.0889999999999999E-2</v>
      </c>
      <c r="D4" s="15">
        <v>9.0630000000000002E-2</v>
      </c>
      <c r="E4" s="15">
        <v>9.0630000000000002E-2</v>
      </c>
      <c r="F4" s="15">
        <v>9.0910000000000005E-2</v>
      </c>
      <c r="G4" s="15">
        <f>F4</f>
        <v>9.0910000000000005E-2</v>
      </c>
      <c r="H4" s="15">
        <v>9.0859999999999996E-2</v>
      </c>
      <c r="I4" s="15">
        <v>9.0829999999999994E-2</v>
      </c>
      <c r="J4" s="15"/>
      <c r="K4" s="15">
        <f t="shared" ref="K4:K23" si="0">C4-E4</f>
        <v>2.5999999999999635E-4</v>
      </c>
      <c r="L4" s="15">
        <f t="shared" ref="L4:L23" si="1">C4-G4</f>
        <v>-2.0000000000006124E-5</v>
      </c>
      <c r="M4" s="15">
        <f>E4-G4</f>
        <v>-2.8000000000000247E-4</v>
      </c>
      <c r="N4" s="15">
        <f>C4-H4</f>
        <v>3.0000000000002247E-5</v>
      </c>
      <c r="O4" s="15">
        <f>E4-H4</f>
        <v>-2.299999999999941E-4</v>
      </c>
      <c r="P4" s="15">
        <f>E4-I4</f>
        <v>-1.9999999999999185E-4</v>
      </c>
      <c r="Q4" s="15">
        <f>C4-I4</f>
        <v>6.0000000000004494E-5</v>
      </c>
      <c r="R4" s="15">
        <f>C4-H4</f>
        <v>3.0000000000002247E-5</v>
      </c>
      <c r="S4" s="15">
        <f>H4-I4</f>
        <v>3.0000000000002247E-5</v>
      </c>
      <c r="T4" s="15">
        <f>B4-D4</f>
        <v>2.5999999999999635E-4</v>
      </c>
      <c r="U4" s="15">
        <f>B4-F4</f>
        <v>-2.0000000000006124E-5</v>
      </c>
      <c r="V4" s="15">
        <f>D4-F4</f>
        <v>-2.8000000000000247E-4</v>
      </c>
    </row>
    <row r="5" spans="1:22" x14ac:dyDescent="0.2">
      <c r="A5" s="17" t="s">
        <v>10</v>
      </c>
      <c r="B5" s="15">
        <v>0.16395999999999999</v>
      </c>
      <c r="C5" s="15">
        <f t="shared" ref="C5:C23" si="2">C4+B5</f>
        <v>0.25485000000000002</v>
      </c>
      <c r="D5" s="15">
        <v>0.16428000000000001</v>
      </c>
      <c r="E5" s="15">
        <f>E4+D5</f>
        <v>0.25491000000000003</v>
      </c>
      <c r="F5" s="15">
        <v>0.16403999999999999</v>
      </c>
      <c r="G5" s="15">
        <f>G4+F5</f>
        <v>0.25495000000000001</v>
      </c>
      <c r="H5" s="15">
        <v>0.25490000000000002</v>
      </c>
      <c r="I5" s="15">
        <v>0.25481999999999999</v>
      </c>
      <c r="J5" s="15"/>
      <c r="K5" s="15">
        <f t="shared" si="0"/>
        <v>-6.0000000000004494E-5</v>
      </c>
      <c r="L5" s="15">
        <f t="shared" si="1"/>
        <v>-9.9999999999988987E-5</v>
      </c>
      <c r="M5" s="15">
        <f t="shared" ref="M5:M23" si="3">E5-G5</f>
        <v>-3.9999999999984492E-5</v>
      </c>
      <c r="N5" s="15">
        <f t="shared" ref="N5:N23" si="4">C5-H5</f>
        <v>-4.9999999999994493E-5</v>
      </c>
      <c r="O5" s="15">
        <f t="shared" ref="O5:O23" si="5">E5-H5</f>
        <v>1.0000000000010001E-5</v>
      </c>
      <c r="P5" s="15">
        <f t="shared" ref="P5:P23" si="6">E5-I5</f>
        <v>9.0000000000034497E-5</v>
      </c>
      <c r="Q5" s="15">
        <f t="shared" ref="Q5:Q23" si="7">C5-I5</f>
        <v>3.0000000000030003E-5</v>
      </c>
      <c r="R5" s="15">
        <f t="shared" ref="R5:R23" si="8">C5-H5</f>
        <v>-4.9999999999994493E-5</v>
      </c>
      <c r="S5" s="15">
        <f t="shared" ref="S5:S23" si="9">H5-I5</f>
        <v>8.0000000000024496E-5</v>
      </c>
      <c r="T5" s="15">
        <f t="shared" ref="T5:T23" si="10">B5-D5</f>
        <v>-3.2000000000001472E-4</v>
      </c>
      <c r="U5" s="15">
        <f t="shared" ref="U5:U23" si="11">B5-F5</f>
        <v>-7.999999999999674E-5</v>
      </c>
      <c r="V5" s="15">
        <f t="shared" ref="V5:V23" si="12">D5-F5</f>
        <v>2.4000000000001798E-4</v>
      </c>
    </row>
    <row r="6" spans="1:22" x14ac:dyDescent="0.2">
      <c r="A6" s="17" t="s">
        <v>11</v>
      </c>
      <c r="B6" s="15">
        <v>0.14607000000000001</v>
      </c>
      <c r="C6" s="15">
        <f t="shared" si="2"/>
        <v>0.40092000000000005</v>
      </c>
      <c r="D6" s="15">
        <v>0.14566000000000001</v>
      </c>
      <c r="E6" s="15">
        <f t="shared" ref="E6:G23" si="13">E5+D6</f>
        <v>0.40057000000000004</v>
      </c>
      <c r="F6" s="15">
        <v>0.14587</v>
      </c>
      <c r="G6" s="15">
        <f t="shared" si="13"/>
        <v>0.40082000000000001</v>
      </c>
      <c r="H6" s="15">
        <v>0.40068999999999999</v>
      </c>
      <c r="I6" s="15">
        <v>0.40068999999999999</v>
      </c>
      <c r="J6" s="15"/>
      <c r="K6" s="15">
        <f t="shared" si="0"/>
        <v>3.5000000000001696E-4</v>
      </c>
      <c r="L6" s="15">
        <f t="shared" si="1"/>
        <v>1.000000000000445E-4</v>
      </c>
      <c r="M6" s="15">
        <f t="shared" si="3"/>
        <v>-2.4999999999997247E-4</v>
      </c>
      <c r="N6" s="15">
        <f t="shared" si="4"/>
        <v>2.3000000000006349E-4</v>
      </c>
      <c r="O6" s="15">
        <f t="shared" si="5"/>
        <v>-1.1999999999995348E-4</v>
      </c>
      <c r="P6" s="15">
        <f t="shared" si="6"/>
        <v>-1.1999999999995348E-4</v>
      </c>
      <c r="Q6" s="15">
        <f t="shared" si="7"/>
        <v>2.3000000000006349E-4</v>
      </c>
      <c r="R6" s="15">
        <f t="shared" si="8"/>
        <v>2.3000000000006349E-4</v>
      </c>
      <c r="S6" s="15">
        <f t="shared" si="9"/>
        <v>0</v>
      </c>
      <c r="T6" s="15">
        <f t="shared" si="10"/>
        <v>4.099999999999937E-4</v>
      </c>
      <c r="U6" s="15">
        <f t="shared" si="11"/>
        <v>2.0000000000000573E-4</v>
      </c>
      <c r="V6" s="15">
        <f t="shared" si="12"/>
        <v>-2.0999999999998797E-4</v>
      </c>
    </row>
    <row r="7" spans="1:22" x14ac:dyDescent="0.2">
      <c r="A7" s="17" t="s">
        <v>12</v>
      </c>
      <c r="B7" s="15">
        <v>0.21299000000000001</v>
      </c>
      <c r="C7" s="15">
        <f t="shared" si="2"/>
        <v>0.61391000000000007</v>
      </c>
      <c r="D7" s="15">
        <v>0.21356</v>
      </c>
      <c r="E7" s="15">
        <f t="shared" si="13"/>
        <v>0.61413000000000006</v>
      </c>
      <c r="F7" s="15">
        <v>0.21321999999999999</v>
      </c>
      <c r="G7" s="15">
        <f t="shared" si="13"/>
        <v>0.61404000000000003</v>
      </c>
      <c r="H7" s="15">
        <v>0.61395999999999995</v>
      </c>
      <c r="I7" s="15">
        <v>0.61390999999999996</v>
      </c>
      <c r="J7" s="15"/>
      <c r="K7" s="15">
        <f t="shared" si="0"/>
        <v>-2.1999999999999797E-4</v>
      </c>
      <c r="L7" s="15">
        <f t="shared" si="1"/>
        <v>-1.2999999999996348E-4</v>
      </c>
      <c r="M7" s="15">
        <f t="shared" si="3"/>
        <v>9.0000000000034497E-5</v>
      </c>
      <c r="N7" s="15">
        <f t="shared" si="4"/>
        <v>-4.9999999999883471E-5</v>
      </c>
      <c r="O7" s="15">
        <f t="shared" si="5"/>
        <v>1.700000000001145E-4</v>
      </c>
      <c r="P7" s="15">
        <f t="shared" si="6"/>
        <v>2.20000000000109E-4</v>
      </c>
      <c r="Q7" s="15">
        <f t="shared" si="7"/>
        <v>0</v>
      </c>
      <c r="R7" s="15">
        <f t="shared" si="8"/>
        <v>-4.9999999999883471E-5</v>
      </c>
      <c r="S7" s="15">
        <f t="shared" si="9"/>
        <v>4.9999999999994493E-5</v>
      </c>
      <c r="T7" s="15">
        <f t="shared" si="10"/>
        <v>-5.6999999999998718E-4</v>
      </c>
      <c r="U7" s="15">
        <f t="shared" si="11"/>
        <v>-2.2999999999998022E-4</v>
      </c>
      <c r="V7" s="15">
        <f t="shared" si="12"/>
        <v>3.4000000000000696E-4</v>
      </c>
    </row>
    <row r="8" spans="1:22" x14ac:dyDescent="0.2">
      <c r="A8" s="17" t="s">
        <v>13</v>
      </c>
      <c r="B8" s="15">
        <v>0.18623000000000001</v>
      </c>
      <c r="C8" s="15">
        <f t="shared" si="2"/>
        <v>0.80014000000000007</v>
      </c>
      <c r="D8" s="15">
        <v>0.18589</v>
      </c>
      <c r="E8" s="15">
        <f t="shared" si="13"/>
        <v>0.80002000000000006</v>
      </c>
      <c r="F8" s="15">
        <v>0.1862</v>
      </c>
      <c r="G8" s="15">
        <f t="shared" si="13"/>
        <v>0.80024000000000006</v>
      </c>
      <c r="H8" s="15">
        <v>0.80018999999999996</v>
      </c>
      <c r="I8" s="15">
        <v>0.80006999999999995</v>
      </c>
      <c r="J8" s="15"/>
      <c r="K8" s="15">
        <f t="shared" si="0"/>
        <v>1.2000000000000899E-4</v>
      </c>
      <c r="L8" s="15">
        <f t="shared" si="1"/>
        <v>-9.9999999999988987E-5</v>
      </c>
      <c r="M8" s="15">
        <f t="shared" si="3"/>
        <v>-2.1999999999999797E-4</v>
      </c>
      <c r="N8" s="15">
        <f t="shared" si="4"/>
        <v>-4.9999999999883471E-5</v>
      </c>
      <c r="O8" s="15">
        <f t="shared" si="5"/>
        <v>-1.6999999999989246E-4</v>
      </c>
      <c r="P8" s="15">
        <f t="shared" si="6"/>
        <v>-4.9999999999883471E-5</v>
      </c>
      <c r="Q8" s="15">
        <f t="shared" si="7"/>
        <v>7.0000000000125517E-5</v>
      </c>
      <c r="R8" s="15">
        <f t="shared" si="8"/>
        <v>-4.9999999999883471E-5</v>
      </c>
      <c r="S8" s="15">
        <f t="shared" si="9"/>
        <v>1.2000000000000899E-4</v>
      </c>
      <c r="T8" s="15">
        <f t="shared" si="10"/>
        <v>3.4000000000000696E-4</v>
      </c>
      <c r="U8" s="15">
        <f t="shared" si="11"/>
        <v>3.0000000000002247E-5</v>
      </c>
      <c r="V8" s="15">
        <f t="shared" si="12"/>
        <v>-3.1000000000000472E-4</v>
      </c>
    </row>
    <row r="9" spans="1:22" x14ac:dyDescent="0.2">
      <c r="A9" s="17" t="s">
        <v>14</v>
      </c>
      <c r="B9" s="15">
        <v>0.19975000000000001</v>
      </c>
      <c r="C9" s="15">
        <f t="shared" si="2"/>
        <v>0.99989000000000006</v>
      </c>
      <c r="D9" s="15">
        <v>0.19974</v>
      </c>
      <c r="E9" s="15">
        <f t="shared" si="13"/>
        <v>0.99976000000000009</v>
      </c>
      <c r="F9" s="15">
        <v>0.19964999999999999</v>
      </c>
      <c r="G9" s="15">
        <f t="shared" si="13"/>
        <v>0.99989000000000006</v>
      </c>
      <c r="H9" s="15">
        <v>0.99992999999999999</v>
      </c>
      <c r="I9" s="15">
        <v>0.99977999999999989</v>
      </c>
      <c r="J9" s="15"/>
      <c r="K9" s="15">
        <f t="shared" si="0"/>
        <v>1.2999999999996348E-4</v>
      </c>
      <c r="L9" s="15">
        <f t="shared" si="1"/>
        <v>0</v>
      </c>
      <c r="M9" s="15">
        <f t="shared" si="3"/>
        <v>-1.2999999999996348E-4</v>
      </c>
      <c r="N9" s="15">
        <f t="shared" si="4"/>
        <v>-3.9999999999928981E-5</v>
      </c>
      <c r="O9" s="15">
        <f t="shared" si="5"/>
        <v>-1.6999999999989246E-4</v>
      </c>
      <c r="P9" s="15">
        <f t="shared" si="6"/>
        <v>-1.9999999999797957E-5</v>
      </c>
      <c r="Q9" s="15">
        <f t="shared" si="7"/>
        <v>1.1000000000016552E-4</v>
      </c>
      <c r="R9" s="15">
        <f t="shared" si="8"/>
        <v>-3.9999999999928981E-5</v>
      </c>
      <c r="S9" s="15">
        <f t="shared" si="9"/>
        <v>1.500000000000945E-4</v>
      </c>
      <c r="T9" s="15">
        <f t="shared" si="10"/>
        <v>1.0000000000010001E-5</v>
      </c>
      <c r="U9" s="15">
        <f t="shared" si="11"/>
        <v>1.0000000000001674E-4</v>
      </c>
      <c r="V9" s="15">
        <f t="shared" si="12"/>
        <v>9.0000000000006741E-5</v>
      </c>
    </row>
    <row r="10" spans="1:22" x14ac:dyDescent="0.2">
      <c r="A10" s="17" t="s">
        <v>15</v>
      </c>
      <c r="B10" s="15">
        <v>0.20505000000000001</v>
      </c>
      <c r="C10" s="15">
        <f t="shared" si="2"/>
        <v>1.2049400000000001</v>
      </c>
      <c r="D10" s="15">
        <v>0.20510999999999999</v>
      </c>
      <c r="E10" s="15">
        <f t="shared" si="13"/>
        <v>1.2048700000000001</v>
      </c>
      <c r="F10" s="15">
        <v>0.20513999999999999</v>
      </c>
      <c r="G10" s="15">
        <f t="shared" si="13"/>
        <v>1.20503</v>
      </c>
      <c r="H10" s="15">
        <v>1.20489</v>
      </c>
      <c r="I10" s="15">
        <v>1.2047399999999999</v>
      </c>
      <c r="J10" s="15"/>
      <c r="K10" s="15">
        <f t="shared" si="0"/>
        <v>7.0000000000014495E-5</v>
      </c>
      <c r="L10" s="15">
        <f t="shared" si="1"/>
        <v>-8.9999999999923475E-5</v>
      </c>
      <c r="M10" s="15">
        <f t="shared" si="3"/>
        <v>-1.5999999999993797E-4</v>
      </c>
      <c r="N10" s="15">
        <f t="shared" si="4"/>
        <v>5.0000000000105516E-5</v>
      </c>
      <c r="O10" s="15">
        <f t="shared" si="5"/>
        <v>-1.9999999999908979E-5</v>
      </c>
      <c r="P10" s="15">
        <f t="shared" si="6"/>
        <v>1.3000000000018552E-4</v>
      </c>
      <c r="Q10" s="15">
        <f t="shared" si="7"/>
        <v>2.0000000000020002E-4</v>
      </c>
      <c r="R10" s="15">
        <f t="shared" si="8"/>
        <v>5.0000000000105516E-5</v>
      </c>
      <c r="S10" s="15">
        <f t="shared" si="9"/>
        <v>1.500000000000945E-4</v>
      </c>
      <c r="T10" s="15">
        <f t="shared" si="10"/>
        <v>-5.9999999999976739E-5</v>
      </c>
      <c r="U10" s="15">
        <f t="shared" si="11"/>
        <v>-8.9999999999978986E-5</v>
      </c>
      <c r="V10" s="15">
        <f t="shared" si="12"/>
        <v>-3.0000000000002247E-5</v>
      </c>
    </row>
    <row r="11" spans="1:22" x14ac:dyDescent="0.2">
      <c r="A11" s="17" t="s">
        <v>16</v>
      </c>
      <c r="B11" s="15">
        <v>0.24686</v>
      </c>
      <c r="C11" s="15">
        <f t="shared" si="2"/>
        <v>1.4518000000000002</v>
      </c>
      <c r="D11" s="15">
        <v>0.24709</v>
      </c>
      <c r="E11" s="15">
        <f t="shared" si="13"/>
        <v>1.4519600000000001</v>
      </c>
      <c r="F11" s="15">
        <v>0.24689</v>
      </c>
      <c r="G11" s="15">
        <f t="shared" si="13"/>
        <v>1.4519200000000001</v>
      </c>
      <c r="H11" s="15">
        <v>1.45184</v>
      </c>
      <c r="I11" s="15">
        <v>1.45163</v>
      </c>
      <c r="J11" s="15"/>
      <c r="K11" s="15">
        <f t="shared" si="0"/>
        <v>-1.5999999999993797E-4</v>
      </c>
      <c r="L11" s="15">
        <f t="shared" si="1"/>
        <v>-1.1999999999989797E-4</v>
      </c>
      <c r="M11" s="15">
        <f t="shared" si="3"/>
        <v>4.0000000000040004E-5</v>
      </c>
      <c r="N11" s="15">
        <f t="shared" si="4"/>
        <v>-3.9999999999817959E-5</v>
      </c>
      <c r="O11" s="15">
        <f t="shared" si="5"/>
        <v>1.2000000000012001E-4</v>
      </c>
      <c r="P11" s="15">
        <f t="shared" si="6"/>
        <v>3.300000000001635E-4</v>
      </c>
      <c r="Q11" s="15">
        <f t="shared" si="7"/>
        <v>1.7000000000022553E-4</v>
      </c>
      <c r="R11" s="15">
        <f t="shared" si="8"/>
        <v>-3.9999999999817959E-5</v>
      </c>
      <c r="S11" s="15">
        <f t="shared" si="9"/>
        <v>2.1000000000004349E-4</v>
      </c>
      <c r="T11" s="15">
        <f t="shared" si="10"/>
        <v>-2.3000000000000798E-4</v>
      </c>
      <c r="U11" s="15">
        <f t="shared" si="11"/>
        <v>-3.0000000000002247E-5</v>
      </c>
      <c r="V11" s="15">
        <f t="shared" si="12"/>
        <v>2.0000000000000573E-4</v>
      </c>
    </row>
    <row r="12" spans="1:22" x14ac:dyDescent="0.2">
      <c r="A12" s="17" t="s">
        <v>17</v>
      </c>
      <c r="B12" s="15">
        <v>0.26756999999999997</v>
      </c>
      <c r="C12" s="15">
        <f t="shared" si="2"/>
        <v>1.7193700000000001</v>
      </c>
      <c r="D12" s="15">
        <v>0.26740000000000003</v>
      </c>
      <c r="E12" s="15">
        <f t="shared" si="13"/>
        <v>1.7193600000000002</v>
      </c>
      <c r="F12" s="15">
        <v>0.26769999999999999</v>
      </c>
      <c r="G12" s="15">
        <f t="shared" si="13"/>
        <v>1.7196200000000001</v>
      </c>
      <c r="H12" s="15">
        <v>1.71949</v>
      </c>
      <c r="I12" s="15">
        <v>1.71922</v>
      </c>
      <c r="J12" s="15"/>
      <c r="K12" s="15">
        <f t="shared" si="0"/>
        <v>9.9999999998434674E-6</v>
      </c>
      <c r="L12" s="15">
        <f t="shared" si="1"/>
        <v>-2.5000000000008349E-4</v>
      </c>
      <c r="M12" s="15">
        <f t="shared" si="3"/>
        <v>-2.5999999999992696E-4</v>
      </c>
      <c r="N12" s="15">
        <f t="shared" si="4"/>
        <v>-1.1999999999989797E-4</v>
      </c>
      <c r="O12" s="15">
        <f t="shared" si="5"/>
        <v>-1.2999999999974143E-4</v>
      </c>
      <c r="P12" s="15">
        <f t="shared" si="6"/>
        <v>1.4000000000025103E-4</v>
      </c>
      <c r="Q12" s="15">
        <f t="shared" si="7"/>
        <v>1.500000000000945E-4</v>
      </c>
      <c r="R12" s="15">
        <f t="shared" si="8"/>
        <v>-1.1999999999989797E-4</v>
      </c>
      <c r="S12" s="15">
        <f t="shared" si="9"/>
        <v>2.6999999999999247E-4</v>
      </c>
      <c r="T12" s="15">
        <f t="shared" si="10"/>
        <v>1.6999999999994797E-4</v>
      </c>
      <c r="U12" s="15">
        <f t="shared" si="11"/>
        <v>-1.3000000000001899E-4</v>
      </c>
      <c r="V12" s="15">
        <f t="shared" si="12"/>
        <v>-2.9999999999996696E-4</v>
      </c>
    </row>
    <row r="13" spans="1:22" x14ac:dyDescent="0.2">
      <c r="A13" s="17" t="s">
        <v>18</v>
      </c>
      <c r="B13" s="15">
        <v>0.33312000000000003</v>
      </c>
      <c r="C13" s="15">
        <f t="shared" si="2"/>
        <v>2.0524900000000001</v>
      </c>
      <c r="D13" s="15">
        <v>0.33322000000000002</v>
      </c>
      <c r="E13" s="15">
        <f t="shared" si="13"/>
        <v>2.0525800000000003</v>
      </c>
      <c r="F13" s="15">
        <v>0.33306000000000002</v>
      </c>
      <c r="G13" s="15">
        <f t="shared" si="13"/>
        <v>2.0526800000000001</v>
      </c>
      <c r="H13" s="15">
        <v>2.05254</v>
      </c>
      <c r="I13" s="15">
        <v>2.0522999999999998</v>
      </c>
      <c r="J13" s="15"/>
      <c r="K13" s="15">
        <f t="shared" si="0"/>
        <v>-9.0000000000145519E-5</v>
      </c>
      <c r="L13" s="15">
        <f t="shared" si="1"/>
        <v>-1.8999999999991246E-4</v>
      </c>
      <c r="M13" s="15">
        <f t="shared" si="3"/>
        <v>-9.9999999999766942E-5</v>
      </c>
      <c r="N13" s="15">
        <f t="shared" si="4"/>
        <v>-4.9999999999883471E-5</v>
      </c>
      <c r="O13" s="15">
        <f t="shared" si="5"/>
        <v>4.0000000000262048E-5</v>
      </c>
      <c r="P13" s="15">
        <f t="shared" si="6"/>
        <v>2.8000000000050207E-4</v>
      </c>
      <c r="Q13" s="15">
        <f t="shared" si="7"/>
        <v>1.9000000000035655E-4</v>
      </c>
      <c r="R13" s="15">
        <f t="shared" si="8"/>
        <v>-4.9999999999883471E-5</v>
      </c>
      <c r="S13" s="15">
        <f t="shared" si="9"/>
        <v>2.4000000000024002E-4</v>
      </c>
      <c r="T13" s="15">
        <f t="shared" si="10"/>
        <v>-9.9999999999988987E-5</v>
      </c>
      <c r="U13" s="15">
        <f t="shared" si="11"/>
        <v>6.0000000000004494E-5</v>
      </c>
      <c r="V13" s="15">
        <f t="shared" si="12"/>
        <v>1.5999999999999348E-4</v>
      </c>
    </row>
    <row r="14" spans="1:22" x14ac:dyDescent="0.2">
      <c r="A14" s="17" t="s">
        <v>19</v>
      </c>
      <c r="B14" s="15">
        <v>0.26386999999999999</v>
      </c>
      <c r="C14" s="15">
        <f t="shared" si="2"/>
        <v>2.31636</v>
      </c>
      <c r="D14" s="15">
        <v>0.26404</v>
      </c>
      <c r="E14" s="15">
        <f t="shared" si="13"/>
        <v>2.3166200000000003</v>
      </c>
      <c r="F14" s="15">
        <v>0.26384000000000002</v>
      </c>
      <c r="G14" s="15">
        <f t="shared" si="13"/>
        <v>2.3165200000000001</v>
      </c>
      <c r="H14" s="15">
        <v>2.3163800000000001</v>
      </c>
      <c r="I14" s="15">
        <v>2.3160999999999996</v>
      </c>
      <c r="J14" s="15"/>
      <c r="K14" s="15">
        <f t="shared" si="0"/>
        <v>-2.6000000000037105E-4</v>
      </c>
      <c r="L14" s="15">
        <f t="shared" si="1"/>
        <v>-1.6000000000016001E-4</v>
      </c>
      <c r="M14" s="15">
        <f t="shared" si="3"/>
        <v>1.0000000000021103E-4</v>
      </c>
      <c r="N14" s="15">
        <f t="shared" si="4"/>
        <v>-2.0000000000131024E-5</v>
      </c>
      <c r="O14" s="15">
        <f t="shared" si="5"/>
        <v>2.4000000000024002E-4</v>
      </c>
      <c r="P14" s="15">
        <f t="shared" si="6"/>
        <v>5.2000000000074209E-4</v>
      </c>
      <c r="Q14" s="15">
        <f t="shared" si="7"/>
        <v>2.6000000000037105E-4</v>
      </c>
      <c r="R14" s="15">
        <f t="shared" si="8"/>
        <v>-2.0000000000131024E-5</v>
      </c>
      <c r="S14" s="15">
        <f t="shared" si="9"/>
        <v>2.8000000000050207E-4</v>
      </c>
      <c r="T14" s="15">
        <f t="shared" si="10"/>
        <v>-1.7000000000000348E-4</v>
      </c>
      <c r="U14" s="15">
        <f t="shared" si="11"/>
        <v>2.9999999999974492E-5</v>
      </c>
      <c r="V14" s="15">
        <f t="shared" si="12"/>
        <v>1.9999999999997797E-4</v>
      </c>
    </row>
    <row r="15" spans="1:22" x14ac:dyDescent="0.2">
      <c r="A15" s="17" t="s">
        <v>20</v>
      </c>
      <c r="B15" s="15">
        <v>0.12570000000000001</v>
      </c>
      <c r="C15" s="15">
        <f t="shared" si="2"/>
        <v>2.4420600000000001</v>
      </c>
      <c r="D15" s="15">
        <v>0.12579000000000001</v>
      </c>
      <c r="E15" s="15">
        <f t="shared" si="13"/>
        <v>2.4424100000000002</v>
      </c>
      <c r="F15" s="15">
        <v>0.12565999999999999</v>
      </c>
      <c r="G15" s="15">
        <f t="shared" si="13"/>
        <v>2.44218</v>
      </c>
      <c r="H15" s="15">
        <v>2.4418800000000003</v>
      </c>
      <c r="I15" s="15">
        <v>2.4417899999999997</v>
      </c>
      <c r="J15" s="15"/>
      <c r="K15" s="15">
        <f t="shared" si="0"/>
        <v>-3.5000000000007248E-4</v>
      </c>
      <c r="L15" s="15">
        <f t="shared" si="1"/>
        <v>-1.1999999999989797E-4</v>
      </c>
      <c r="M15" s="15">
        <f t="shared" si="3"/>
        <v>2.3000000000017451E-4</v>
      </c>
      <c r="N15" s="15">
        <f t="shared" si="4"/>
        <v>1.7999999999984695E-4</v>
      </c>
      <c r="O15" s="15">
        <f t="shared" si="5"/>
        <v>5.2999999999991942E-4</v>
      </c>
      <c r="P15" s="15">
        <f t="shared" si="6"/>
        <v>6.2000000000050903E-4</v>
      </c>
      <c r="Q15" s="15">
        <f t="shared" si="7"/>
        <v>2.7000000000043656E-4</v>
      </c>
      <c r="R15" s="15">
        <f t="shared" si="8"/>
        <v>1.7999999999984695E-4</v>
      </c>
      <c r="S15" s="15">
        <f t="shared" si="9"/>
        <v>9.0000000000589608E-5</v>
      </c>
      <c r="T15" s="15">
        <f t="shared" si="10"/>
        <v>-9.0000000000006741E-5</v>
      </c>
      <c r="U15" s="15">
        <f t="shared" si="11"/>
        <v>4.0000000000012248E-5</v>
      </c>
      <c r="V15" s="15">
        <f t="shared" si="12"/>
        <v>1.3000000000001899E-4</v>
      </c>
    </row>
    <row r="16" spans="1:22" x14ac:dyDescent="0.2">
      <c r="A16" s="17" t="s">
        <v>21</v>
      </c>
      <c r="B16" s="15">
        <v>0.12983</v>
      </c>
      <c r="C16" s="15">
        <f t="shared" si="2"/>
        <v>2.5718900000000002</v>
      </c>
      <c r="D16" s="15">
        <v>0.12969</v>
      </c>
      <c r="E16" s="15">
        <f t="shared" si="13"/>
        <v>2.5721000000000003</v>
      </c>
      <c r="F16" s="15">
        <v>0.12953000000000001</v>
      </c>
      <c r="G16" s="15">
        <f>G15+F16</f>
        <v>2.5717099999999999</v>
      </c>
      <c r="H16" s="15">
        <v>2.5715700000000004</v>
      </c>
      <c r="I16" s="15">
        <v>2.5712699999999997</v>
      </c>
      <c r="J16" s="15"/>
      <c r="K16" s="15">
        <f t="shared" si="0"/>
        <v>-2.1000000000004349E-4</v>
      </c>
      <c r="L16" s="15">
        <f t="shared" si="1"/>
        <v>1.8000000000029104E-4</v>
      </c>
      <c r="M16" s="15">
        <f t="shared" si="3"/>
        <v>3.9000000000033452E-4</v>
      </c>
      <c r="N16" s="15">
        <f t="shared" si="4"/>
        <v>3.1999999999987594E-4</v>
      </c>
      <c r="O16" s="15">
        <f t="shared" si="5"/>
        <v>5.2999999999991942E-4</v>
      </c>
      <c r="P16" s="15">
        <f t="shared" si="6"/>
        <v>8.3000000000055252E-4</v>
      </c>
      <c r="Q16" s="15">
        <f t="shared" si="7"/>
        <v>6.2000000000050903E-4</v>
      </c>
      <c r="R16" s="15">
        <f t="shared" si="8"/>
        <v>3.1999999999987594E-4</v>
      </c>
      <c r="S16" s="15">
        <f t="shared" si="9"/>
        <v>3.0000000000063309E-4</v>
      </c>
      <c r="T16" s="15">
        <f t="shared" si="10"/>
        <v>1.4000000000000123E-4</v>
      </c>
      <c r="U16" s="15">
        <f t="shared" si="11"/>
        <v>2.9999999999999472E-4</v>
      </c>
      <c r="V16" s="15">
        <f t="shared" si="12"/>
        <v>1.5999999999999348E-4</v>
      </c>
    </row>
    <row r="17" spans="1:22" x14ac:dyDescent="0.2">
      <c r="A17" s="17" t="s">
        <v>22</v>
      </c>
      <c r="B17" s="15">
        <v>0.22864999999999999</v>
      </c>
      <c r="C17" s="15">
        <f t="shared" si="2"/>
        <v>2.8005400000000003</v>
      </c>
      <c r="D17" s="15">
        <v>0.22842999999999999</v>
      </c>
      <c r="E17" s="15">
        <f t="shared" si="13"/>
        <v>2.8005300000000002</v>
      </c>
      <c r="F17" s="15">
        <v>0.22892000000000001</v>
      </c>
      <c r="G17" s="15">
        <f t="shared" si="13"/>
        <v>2.80063</v>
      </c>
      <c r="H17" s="15">
        <v>2.8006900000000003</v>
      </c>
      <c r="I17" s="15">
        <v>2.8002499999999997</v>
      </c>
      <c r="J17" s="15"/>
      <c r="K17" s="15">
        <f t="shared" si="0"/>
        <v>1.0000000000065512E-5</v>
      </c>
      <c r="L17" s="15">
        <f t="shared" si="1"/>
        <v>-8.999999999970143E-5</v>
      </c>
      <c r="M17" s="15">
        <f t="shared" si="3"/>
        <v>-9.9999999999766942E-5</v>
      </c>
      <c r="N17" s="15">
        <f t="shared" si="4"/>
        <v>-1.500000000000945E-4</v>
      </c>
      <c r="O17" s="15">
        <f t="shared" si="5"/>
        <v>-1.6000000000016001E-4</v>
      </c>
      <c r="P17" s="15">
        <f t="shared" si="6"/>
        <v>2.8000000000050207E-4</v>
      </c>
      <c r="Q17" s="15">
        <f t="shared" si="7"/>
        <v>2.9000000000056758E-4</v>
      </c>
      <c r="R17" s="15">
        <f t="shared" si="8"/>
        <v>-1.500000000000945E-4</v>
      </c>
      <c r="S17" s="15">
        <f t="shared" si="9"/>
        <v>4.4000000000066208E-4</v>
      </c>
      <c r="T17" s="15">
        <f t="shared" si="10"/>
        <v>2.1999999999999797E-4</v>
      </c>
      <c r="U17" s="15">
        <f t="shared" si="11"/>
        <v>-2.7000000000002022E-4</v>
      </c>
      <c r="V17" s="15">
        <f t="shared" si="12"/>
        <v>-4.900000000000182E-4</v>
      </c>
    </row>
    <row r="18" spans="1:22" x14ac:dyDescent="0.2">
      <c r="A18" s="17" t="s">
        <v>23</v>
      </c>
      <c r="B18" s="15">
        <v>0.18235000000000001</v>
      </c>
      <c r="C18" s="15">
        <f t="shared" si="2"/>
        <v>2.9828900000000003</v>
      </c>
      <c r="D18" s="15">
        <v>0.18251999999999999</v>
      </c>
      <c r="E18" s="15">
        <f t="shared" si="13"/>
        <v>2.98305</v>
      </c>
      <c r="F18" s="15">
        <v>0.18246999999999999</v>
      </c>
      <c r="G18" s="15">
        <f t="shared" si="13"/>
        <v>2.9830999999999999</v>
      </c>
      <c r="H18" s="15">
        <v>2.9828400000000004</v>
      </c>
      <c r="I18" s="15">
        <v>2.9824899999999999</v>
      </c>
      <c r="J18" s="15"/>
      <c r="K18" s="15">
        <f t="shared" si="0"/>
        <v>-1.5999999999971593E-4</v>
      </c>
      <c r="L18" s="15">
        <f t="shared" si="1"/>
        <v>-2.099999999995994E-4</v>
      </c>
      <c r="M18" s="15">
        <f t="shared" si="3"/>
        <v>-4.9999999999883471E-5</v>
      </c>
      <c r="N18" s="15">
        <f t="shared" si="4"/>
        <v>4.9999999999883471E-5</v>
      </c>
      <c r="O18" s="15">
        <f t="shared" si="5"/>
        <v>2.099999999995994E-4</v>
      </c>
      <c r="P18" s="15">
        <f t="shared" si="6"/>
        <v>5.6000000000011596E-4</v>
      </c>
      <c r="Q18" s="15">
        <f t="shared" si="7"/>
        <v>4.0000000000040004E-4</v>
      </c>
      <c r="R18" s="15">
        <f t="shared" si="8"/>
        <v>4.9999999999883471E-5</v>
      </c>
      <c r="S18" s="15">
        <f t="shared" si="9"/>
        <v>3.5000000000051656E-4</v>
      </c>
      <c r="T18" s="15">
        <f t="shared" si="10"/>
        <v>-1.6999999999997573E-4</v>
      </c>
      <c r="U18" s="15">
        <f t="shared" si="11"/>
        <v>-1.1999999999998123E-4</v>
      </c>
      <c r="V18" s="15">
        <f t="shared" si="12"/>
        <v>4.9999999999994493E-5</v>
      </c>
    </row>
    <row r="19" spans="1:22" x14ac:dyDescent="0.2">
      <c r="A19" s="17" t="s">
        <v>24</v>
      </c>
      <c r="B19" s="15">
        <v>0.15192</v>
      </c>
      <c r="C19" s="15">
        <f t="shared" si="2"/>
        <v>3.1348100000000003</v>
      </c>
      <c r="D19" s="15">
        <v>0.15243999999999999</v>
      </c>
      <c r="E19" s="15">
        <f t="shared" si="13"/>
        <v>3.1354899999999999</v>
      </c>
      <c r="F19" s="15">
        <v>0.152</v>
      </c>
      <c r="G19" s="15">
        <f t="shared" si="13"/>
        <v>3.1351</v>
      </c>
      <c r="H19" s="15">
        <v>3.1349100000000005</v>
      </c>
      <c r="I19" s="15">
        <v>3.1344599999999998</v>
      </c>
      <c r="J19" s="15"/>
      <c r="K19" s="15">
        <f t="shared" si="0"/>
        <v>-6.7999999999956984E-4</v>
      </c>
      <c r="L19" s="15">
        <f t="shared" si="1"/>
        <v>-2.899999999996794E-4</v>
      </c>
      <c r="M19" s="15">
        <f t="shared" si="3"/>
        <v>3.8999999999989043E-4</v>
      </c>
      <c r="N19" s="15">
        <f t="shared" si="4"/>
        <v>-1.0000000000021103E-4</v>
      </c>
      <c r="O19" s="15">
        <f t="shared" si="5"/>
        <v>5.7999999999935881E-4</v>
      </c>
      <c r="P19" s="15">
        <f>E19-I19</f>
        <v>1.0300000000000864E-3</v>
      </c>
      <c r="Q19" s="15">
        <f t="shared" si="7"/>
        <v>3.5000000000051656E-4</v>
      </c>
      <c r="R19" s="15">
        <f t="shared" si="8"/>
        <v>-1.0000000000021103E-4</v>
      </c>
      <c r="S19" s="15">
        <f t="shared" si="9"/>
        <v>4.500000000007276E-4</v>
      </c>
      <c r="T19" s="15">
        <f t="shared" si="10"/>
        <v>-5.1999999999999269E-4</v>
      </c>
      <c r="U19" s="15">
        <f t="shared" si="11"/>
        <v>-7.999999999999674E-5</v>
      </c>
      <c r="V19" s="15">
        <f t="shared" si="12"/>
        <v>4.3999999999999595E-4</v>
      </c>
    </row>
    <row r="20" spans="1:22" x14ac:dyDescent="0.2">
      <c r="A20" s="17" t="s">
        <v>25</v>
      </c>
      <c r="B20" s="15">
        <v>0.15337000000000001</v>
      </c>
      <c r="C20" s="15">
        <f t="shared" si="2"/>
        <v>3.2881800000000005</v>
      </c>
      <c r="D20" s="15">
        <v>0.15246999999999999</v>
      </c>
      <c r="E20" s="15">
        <f t="shared" si="13"/>
        <v>3.28796</v>
      </c>
      <c r="F20" s="15">
        <v>0.15245</v>
      </c>
      <c r="G20" s="15">
        <f t="shared" si="13"/>
        <v>3.28755</v>
      </c>
      <c r="H20" s="15">
        <v>3.2873000000000006</v>
      </c>
      <c r="I20" s="15">
        <v>3.2867699999999997</v>
      </c>
      <c r="J20" s="15"/>
      <c r="K20" s="15">
        <f t="shared" si="0"/>
        <v>2.2000000000055309E-4</v>
      </c>
      <c r="L20" s="15">
        <f t="shared" si="1"/>
        <v>6.3000000000057454E-4</v>
      </c>
      <c r="M20" s="15">
        <f t="shared" si="3"/>
        <v>4.1000000000002146E-4</v>
      </c>
      <c r="N20" s="15">
        <f t="shared" si="4"/>
        <v>8.799999999999919E-4</v>
      </c>
      <c r="O20" s="15">
        <f t="shared" si="5"/>
        <v>6.5999999999943881E-4</v>
      </c>
      <c r="P20" s="15">
        <f t="shared" si="6"/>
        <v>1.1900000000002464E-3</v>
      </c>
      <c r="Q20" s="15">
        <f t="shared" si="7"/>
        <v>1.4100000000007995E-3</v>
      </c>
      <c r="R20" s="15">
        <f t="shared" si="8"/>
        <v>8.799999999999919E-4</v>
      </c>
      <c r="S20" s="15">
        <f t="shared" si="9"/>
        <v>5.300000000008076E-4</v>
      </c>
      <c r="T20" s="15">
        <f t="shared" si="10"/>
        <v>9.000000000000119E-4</v>
      </c>
      <c r="U20" s="15">
        <f t="shared" si="11"/>
        <v>9.2000000000000415E-4</v>
      </c>
      <c r="V20" s="15">
        <f t="shared" si="12"/>
        <v>1.9999999999992246E-5</v>
      </c>
    </row>
    <row r="21" spans="1:22" x14ac:dyDescent="0.2">
      <c r="A21" s="17" t="s">
        <v>26</v>
      </c>
      <c r="B21" s="15">
        <v>0.15719</v>
      </c>
      <c r="C21" s="15">
        <f t="shared" si="2"/>
        <v>3.4453700000000005</v>
      </c>
      <c r="D21" s="15">
        <v>0.15779000000000001</v>
      </c>
      <c r="E21" s="15">
        <f t="shared" si="13"/>
        <v>3.4457499999999999</v>
      </c>
      <c r="F21" s="15">
        <v>0.15806000000000001</v>
      </c>
      <c r="G21" s="15">
        <f t="shared" si="13"/>
        <v>3.4456099999999998</v>
      </c>
      <c r="H21" s="15">
        <v>3.4454200000000004</v>
      </c>
      <c r="I21" s="15">
        <v>3.4448599999999998</v>
      </c>
      <c r="J21" s="15"/>
      <c r="K21" s="15">
        <f t="shared" si="0"/>
        <v>-3.7999999999938083E-4</v>
      </c>
      <c r="L21" s="15">
        <f t="shared" si="1"/>
        <v>-2.3999999999935184E-4</v>
      </c>
      <c r="M21" s="15">
        <f t="shared" si="3"/>
        <v>1.4000000000002899E-4</v>
      </c>
      <c r="N21" s="15">
        <f t="shared" si="4"/>
        <v>-4.9999999999883471E-5</v>
      </c>
      <c r="O21" s="15">
        <f t="shared" si="5"/>
        <v>3.2999999999949736E-4</v>
      </c>
      <c r="P21" s="15">
        <f t="shared" si="6"/>
        <v>8.9000000000005741E-4</v>
      </c>
      <c r="Q21" s="15">
        <f t="shared" si="7"/>
        <v>5.1000000000067658E-4</v>
      </c>
      <c r="R21" s="15">
        <f t="shared" si="8"/>
        <v>-4.9999999999883471E-5</v>
      </c>
      <c r="S21" s="15">
        <f t="shared" si="9"/>
        <v>5.6000000000056005E-4</v>
      </c>
      <c r="T21" s="15">
        <f t="shared" si="10"/>
        <v>-6.0000000000001719E-4</v>
      </c>
      <c r="U21" s="15">
        <f t="shared" si="11"/>
        <v>-8.7000000000000965E-4</v>
      </c>
      <c r="V21" s="15">
        <f t="shared" si="12"/>
        <v>-2.6999999999999247E-4</v>
      </c>
    </row>
    <row r="22" spans="1:22" x14ac:dyDescent="0.2">
      <c r="A22" s="17" t="s">
        <v>27</v>
      </c>
      <c r="B22" s="15">
        <v>0.14868000000000001</v>
      </c>
      <c r="C22" s="15">
        <f t="shared" si="2"/>
        <v>3.5940500000000006</v>
      </c>
      <c r="D22" s="15">
        <v>0.14860999999999999</v>
      </c>
      <c r="E22" s="15">
        <f t="shared" si="13"/>
        <v>3.59436</v>
      </c>
      <c r="F22" s="15">
        <v>0.1487</v>
      </c>
      <c r="G22" s="15">
        <f t="shared" si="13"/>
        <v>3.5943099999999997</v>
      </c>
      <c r="H22" s="15">
        <v>3.5941000000000005</v>
      </c>
      <c r="I22" s="15">
        <v>3.59354</v>
      </c>
      <c r="J22" s="15"/>
      <c r="K22" s="15">
        <f t="shared" si="0"/>
        <v>-3.0999999999936634E-4</v>
      </c>
      <c r="L22" s="15">
        <f t="shared" si="1"/>
        <v>-2.5999999999903878E-4</v>
      </c>
      <c r="M22" s="15">
        <f t="shared" si="3"/>
        <v>5.000000000032756E-5</v>
      </c>
      <c r="N22" s="15">
        <f t="shared" si="4"/>
        <v>-4.9999999999883471E-5</v>
      </c>
      <c r="O22" s="15">
        <f t="shared" si="5"/>
        <v>2.5999999999948287E-4</v>
      </c>
      <c r="P22" s="15">
        <f t="shared" si="6"/>
        <v>8.2000000000004292E-4</v>
      </c>
      <c r="Q22" s="15">
        <f t="shared" si="7"/>
        <v>5.1000000000067658E-4</v>
      </c>
      <c r="R22" s="15">
        <f t="shared" si="8"/>
        <v>-4.9999999999883471E-5</v>
      </c>
      <c r="S22" s="15">
        <f t="shared" si="9"/>
        <v>5.6000000000056005E-4</v>
      </c>
      <c r="T22" s="15">
        <f t="shared" si="10"/>
        <v>7.0000000000014495E-5</v>
      </c>
      <c r="U22" s="15">
        <f t="shared" si="11"/>
        <v>-1.9999999999992246E-5</v>
      </c>
      <c r="V22" s="15">
        <f t="shared" si="12"/>
        <v>-9.0000000000006741E-5</v>
      </c>
    </row>
    <row r="23" spans="1:22" x14ac:dyDescent="0.2">
      <c r="A23" s="17" t="s">
        <v>28</v>
      </c>
      <c r="B23" s="15">
        <v>0.2097</v>
      </c>
      <c r="C23" s="15">
        <f t="shared" si="2"/>
        <v>3.8037500000000009</v>
      </c>
      <c r="D23" s="15">
        <v>0.21002999999999999</v>
      </c>
      <c r="E23" s="15">
        <f t="shared" si="13"/>
        <v>3.8043900000000002</v>
      </c>
      <c r="F23" s="15">
        <v>0.20987</v>
      </c>
      <c r="G23" s="15">
        <f>G22+F23</f>
        <v>3.8041799999999997</v>
      </c>
      <c r="H23" s="15">
        <v>3.8037800000000006</v>
      </c>
      <c r="I23" s="15">
        <v>3.8031700000000002</v>
      </c>
      <c r="J23" s="15"/>
      <c r="K23" s="15">
        <f t="shared" si="0"/>
        <v>-6.3999999999930779E-4</v>
      </c>
      <c r="L23" s="15">
        <f t="shared" si="1"/>
        <v>-4.2999999999882021E-4</v>
      </c>
      <c r="M23" s="15">
        <f t="shared" si="3"/>
        <v>2.1000000000048757E-4</v>
      </c>
      <c r="N23" s="15">
        <f t="shared" si="4"/>
        <v>-2.9999999999752447E-5</v>
      </c>
      <c r="O23" s="15">
        <f t="shared" si="5"/>
        <v>6.0999999999955534E-4</v>
      </c>
      <c r="P23" s="15">
        <f t="shared" si="6"/>
        <v>1.2199999999999989E-3</v>
      </c>
      <c r="Q23" s="15">
        <f t="shared" si="7"/>
        <v>5.8000000000069107E-4</v>
      </c>
      <c r="R23" s="15">
        <f t="shared" si="8"/>
        <v>-2.9999999999752447E-5</v>
      </c>
      <c r="S23" s="15">
        <f t="shared" si="9"/>
        <v>6.1000000000044352E-4</v>
      </c>
      <c r="T23" s="15">
        <f t="shared" si="10"/>
        <v>-3.2999999999999696E-4</v>
      </c>
      <c r="U23" s="15">
        <f t="shared" si="11"/>
        <v>-1.7000000000000348E-4</v>
      </c>
      <c r="V23" s="15">
        <f t="shared" si="12"/>
        <v>1.5999999999999348E-4</v>
      </c>
    </row>
    <row r="24" spans="1:22" x14ac:dyDescent="0.2">
      <c r="A24" s="17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 x14ac:dyDescent="0.2">
      <c r="F25" t="s">
        <v>58</v>
      </c>
      <c r="M25" t="s">
        <v>59</v>
      </c>
      <c r="P25" t="s">
        <v>46</v>
      </c>
    </row>
    <row r="26" spans="1:22" x14ac:dyDescent="0.2">
      <c r="A26">
        <v>26296</v>
      </c>
      <c r="B26" s="22">
        <v>43111</v>
      </c>
      <c r="F26" s="24" t="s">
        <v>56</v>
      </c>
      <c r="I26">
        <v>26296</v>
      </c>
      <c r="J26" s="22">
        <v>43027</v>
      </c>
      <c r="M26" t="s">
        <v>57</v>
      </c>
      <c r="N26" t="s">
        <v>63</v>
      </c>
      <c r="P26" t="s">
        <v>36</v>
      </c>
      <c r="R26" t="s">
        <v>60</v>
      </c>
      <c r="S26" t="s">
        <v>61</v>
      </c>
      <c r="T26" t="s">
        <v>62</v>
      </c>
    </row>
    <row r="27" spans="1:22" x14ac:dyDescent="0.2">
      <c r="A27">
        <v>1</v>
      </c>
      <c r="B27" s="15">
        <v>7.2420434086082605E-2</v>
      </c>
      <c r="C27" s="15"/>
      <c r="D27" s="17" t="s">
        <v>9</v>
      </c>
      <c r="E27" s="15">
        <f t="shared" ref="E27:E40" si="14">B28-$B$27</f>
        <v>9.089054479541632E-2</v>
      </c>
      <c r="F27">
        <v>9.0890000000000012E-2</v>
      </c>
      <c r="G27" s="15"/>
      <c r="H27">
        <v>1</v>
      </c>
      <c r="I27" s="15">
        <v>7.407055597046304E-2</v>
      </c>
      <c r="K27" s="17" t="s">
        <v>9</v>
      </c>
      <c r="L27" s="15">
        <f t="shared" ref="L27:L40" si="15">I28-$I$27</f>
        <v>9.0820681696198932E-2</v>
      </c>
      <c r="M27">
        <v>9.0820000000000012E-2</v>
      </c>
      <c r="N27" s="15">
        <f t="shared" ref="N27:N46" si="16">F27-M27</f>
        <v>7.0000000000000617E-5</v>
      </c>
      <c r="P27" s="15">
        <v>9.0859999999999996E-2</v>
      </c>
      <c r="R27" s="15">
        <f t="shared" ref="R27:R46" si="17">P27-F27</f>
        <v>-3.0000000000016125E-5</v>
      </c>
      <c r="S27" s="15">
        <f>P27-M27</f>
        <v>3.9999999999984492E-5</v>
      </c>
      <c r="T27" s="15">
        <f>R27-S27</f>
        <v>-7.0000000000000617E-5</v>
      </c>
    </row>
    <row r="28" spans="1:22" x14ac:dyDescent="0.2">
      <c r="A28">
        <v>2</v>
      </c>
      <c r="B28" s="15">
        <v>0.16331097888149892</v>
      </c>
      <c r="C28" s="15"/>
      <c r="D28" s="17" t="s">
        <v>10</v>
      </c>
      <c r="E28" s="15">
        <f t="shared" si="14"/>
        <v>0.2548515275730206</v>
      </c>
      <c r="F28">
        <v>0.25485000000000002</v>
      </c>
      <c r="G28" s="15"/>
      <c r="H28">
        <v>2</v>
      </c>
      <c r="I28" s="15">
        <v>0.16489123766666197</v>
      </c>
      <c r="K28" s="17" t="s">
        <v>10</v>
      </c>
      <c r="L28" s="15">
        <f t="shared" si="15"/>
        <v>0.25482191268250837</v>
      </c>
      <c r="M28">
        <v>0.25482000000000005</v>
      </c>
      <c r="N28" s="15">
        <f t="shared" si="16"/>
        <v>2.9999999999974492E-5</v>
      </c>
      <c r="P28" s="15">
        <v>0.25490000000000002</v>
      </c>
      <c r="R28" s="15">
        <f t="shared" si="17"/>
        <v>4.9999999999994493E-5</v>
      </c>
      <c r="S28" s="15">
        <f t="shared" ref="S28:S46" si="18">P28-M28</f>
        <v>7.9999999999968985E-5</v>
      </c>
      <c r="T28" s="15">
        <f t="shared" ref="T28:T46" si="19">R28-S28</f>
        <v>-2.9999999999974492E-5</v>
      </c>
    </row>
    <row r="29" spans="1:22" x14ac:dyDescent="0.2">
      <c r="A29">
        <v>3</v>
      </c>
      <c r="B29" s="15">
        <v>0.32727196165910322</v>
      </c>
      <c r="C29" s="15"/>
      <c r="D29" s="17" t="s">
        <v>11</v>
      </c>
      <c r="E29" s="15">
        <f t="shared" si="14"/>
        <v>0.40092240311781602</v>
      </c>
      <c r="F29">
        <v>0.40092</v>
      </c>
      <c r="G29" s="15"/>
      <c r="H29">
        <v>3</v>
      </c>
      <c r="I29" s="15">
        <v>0.32889246865297139</v>
      </c>
      <c r="K29" s="17" t="s">
        <v>11</v>
      </c>
      <c r="L29" s="15">
        <f t="shared" si="15"/>
        <v>0.40062300705936149</v>
      </c>
      <c r="M29">
        <v>0.40061999999999998</v>
      </c>
      <c r="N29" s="15">
        <f t="shared" si="16"/>
        <v>3.0000000000002247E-4</v>
      </c>
      <c r="P29" s="15">
        <v>0.40068999999999999</v>
      </c>
      <c r="R29" s="15">
        <f t="shared" si="17"/>
        <v>-2.3000000000000798E-4</v>
      </c>
      <c r="S29" s="15">
        <f t="shared" si="18"/>
        <v>7.0000000000014495E-5</v>
      </c>
      <c r="T29" s="15">
        <f t="shared" si="19"/>
        <v>-3.0000000000002247E-4</v>
      </c>
    </row>
    <row r="30" spans="1:22" x14ac:dyDescent="0.2">
      <c r="A30">
        <v>4</v>
      </c>
      <c r="B30" s="15">
        <v>0.47334283720389864</v>
      </c>
      <c r="C30" s="15"/>
      <c r="D30" s="17" t="s">
        <v>12</v>
      </c>
      <c r="E30" s="15">
        <f t="shared" si="14"/>
        <v>0.61391367978164835</v>
      </c>
      <c r="F30">
        <v>0.61390999999999996</v>
      </c>
      <c r="G30" s="15"/>
      <c r="H30">
        <v>4</v>
      </c>
      <c r="I30" s="15">
        <v>0.47469356302982452</v>
      </c>
      <c r="K30" s="17" t="s">
        <v>12</v>
      </c>
      <c r="L30" s="15">
        <f t="shared" si="15"/>
        <v>0.6139546083173455</v>
      </c>
      <c r="M30">
        <v>0.61395</v>
      </c>
      <c r="N30" s="15">
        <f t="shared" si="16"/>
        <v>-4.0000000000040004E-5</v>
      </c>
      <c r="P30" s="15">
        <v>0.61395999999999995</v>
      </c>
      <c r="R30" s="15">
        <f t="shared" si="17"/>
        <v>4.9999999999994493E-5</v>
      </c>
      <c r="S30" s="15">
        <f t="shared" si="18"/>
        <v>9.9999999999544897E-6</v>
      </c>
      <c r="T30" s="15">
        <f t="shared" si="19"/>
        <v>4.0000000000040004E-5</v>
      </c>
    </row>
    <row r="31" spans="1:22" x14ac:dyDescent="0.2">
      <c r="A31">
        <v>5</v>
      </c>
      <c r="B31" s="15">
        <v>0.68633411386773091</v>
      </c>
      <c r="C31" s="15"/>
      <c r="D31" s="17" t="s">
        <v>13</v>
      </c>
      <c r="E31" s="15">
        <f t="shared" si="14"/>
        <v>0.800134795985878</v>
      </c>
      <c r="F31">
        <v>0.80013000000000001</v>
      </c>
      <c r="G31" s="15"/>
      <c r="H31">
        <v>5</v>
      </c>
      <c r="I31" s="15">
        <v>0.68802516428780858</v>
      </c>
      <c r="K31" s="17" t="s">
        <v>13</v>
      </c>
      <c r="L31" s="15">
        <f t="shared" si="15"/>
        <v>0.80012600571198711</v>
      </c>
      <c r="M31">
        <v>0.80012000000000005</v>
      </c>
      <c r="N31" s="15">
        <f t="shared" si="16"/>
        <v>9.9999999999544897E-6</v>
      </c>
      <c r="P31" s="15">
        <v>0.80018999999999996</v>
      </c>
      <c r="R31" s="15">
        <f t="shared" si="17"/>
        <v>5.9999999999948983E-5</v>
      </c>
      <c r="S31" s="15">
        <f t="shared" si="18"/>
        <v>6.9999999999903473E-5</v>
      </c>
      <c r="T31" s="15">
        <f t="shared" si="19"/>
        <v>-9.9999999999544897E-6</v>
      </c>
    </row>
    <row r="32" spans="1:22" x14ac:dyDescent="0.2">
      <c r="A32">
        <v>6</v>
      </c>
      <c r="B32" s="15">
        <v>0.87255523007196056</v>
      </c>
      <c r="C32" s="15"/>
      <c r="D32" s="17" t="s">
        <v>14</v>
      </c>
      <c r="E32" s="15">
        <f t="shared" si="14"/>
        <v>0.99988599328904004</v>
      </c>
      <c r="F32">
        <v>0.99987999999999999</v>
      </c>
      <c r="G32" s="15"/>
      <c r="H32">
        <v>6</v>
      </c>
      <c r="I32" s="15">
        <v>0.87419656168245019</v>
      </c>
      <c r="K32" s="17" t="s">
        <v>14</v>
      </c>
      <c r="L32" s="15">
        <f t="shared" si="15"/>
        <v>0.99982750466299919</v>
      </c>
      <c r="M32">
        <v>0.99982000000000004</v>
      </c>
      <c r="N32" s="15">
        <f t="shared" si="16"/>
        <v>5.9999999999948983E-5</v>
      </c>
      <c r="P32" s="15">
        <v>0.99992999999999999</v>
      </c>
      <c r="R32" s="15">
        <f t="shared" si="17"/>
        <v>4.9999999999994493E-5</v>
      </c>
      <c r="S32" s="15">
        <f t="shared" si="18"/>
        <v>1.0999999999994348E-4</v>
      </c>
      <c r="T32" s="15">
        <f t="shared" si="19"/>
        <v>-5.9999999999948983E-5</v>
      </c>
    </row>
    <row r="33" spans="1:20" x14ac:dyDescent="0.2">
      <c r="A33">
        <v>7</v>
      </c>
      <c r="B33" s="15">
        <v>1.0723064273751226</v>
      </c>
      <c r="C33" s="15">
        <v>7.8410549027773585E-2</v>
      </c>
      <c r="D33" s="17" t="s">
        <v>15</v>
      </c>
      <c r="E33" s="15">
        <f t="shared" si="14"/>
        <v>1.2049472224203863</v>
      </c>
      <c r="F33" s="15">
        <f>C34-$C$33+$E$32</f>
        <v>1.2049174289115936</v>
      </c>
      <c r="G33" s="15"/>
      <c r="H33">
        <v>7</v>
      </c>
      <c r="I33" s="15">
        <v>1.0738980606334623</v>
      </c>
      <c r="J33">
        <v>7.9580490372673118E-2</v>
      </c>
      <c r="K33" s="17" t="s">
        <v>15</v>
      </c>
      <c r="L33" s="15">
        <f t="shared" si="15"/>
        <v>1.2048690436961265</v>
      </c>
      <c r="M33" s="15">
        <f t="shared" ref="M33:M46" si="20">J34-$J$33+$L$32</f>
        <v>1.2048187678132161</v>
      </c>
      <c r="N33" s="15">
        <f t="shared" si="16"/>
        <v>9.8661098377528234E-5</v>
      </c>
      <c r="P33" s="15">
        <v>1.20489</v>
      </c>
      <c r="R33" s="15">
        <f t="shared" si="17"/>
        <v>-2.7428911593574412E-5</v>
      </c>
      <c r="S33" s="15">
        <f t="shared" si="18"/>
        <v>7.1232186783953821E-5</v>
      </c>
      <c r="T33" s="15">
        <f t="shared" si="19"/>
        <v>-9.8661098377528234E-5</v>
      </c>
    </row>
    <row r="34" spans="1:20" x14ac:dyDescent="0.2">
      <c r="A34">
        <v>8</v>
      </c>
      <c r="B34" s="15">
        <v>1.2773676565064689</v>
      </c>
      <c r="C34" s="15">
        <v>0.28344198465032711</v>
      </c>
      <c r="D34" s="17" t="s">
        <v>16</v>
      </c>
      <c r="E34" s="15">
        <f t="shared" si="14"/>
        <v>1.4517987020413405</v>
      </c>
      <c r="F34" s="15">
        <f t="shared" ref="F34:F46" si="21">C35-$C$33+$E$32</f>
        <v>1.4517891574983359</v>
      </c>
      <c r="G34" s="15"/>
      <c r="H34">
        <v>8</v>
      </c>
      <c r="I34" s="15">
        <v>1.2789395996665895</v>
      </c>
      <c r="J34">
        <v>0.28457175352289005</v>
      </c>
      <c r="K34" s="17" t="s">
        <v>16</v>
      </c>
      <c r="L34" s="15">
        <f t="shared" si="15"/>
        <v>1.4517608968559432</v>
      </c>
      <c r="M34" s="15">
        <f t="shared" si="20"/>
        <v>1.4517402893364688</v>
      </c>
      <c r="N34" s="15">
        <f t="shared" si="16"/>
        <v>4.8868161867110516E-5</v>
      </c>
      <c r="P34" s="15">
        <v>1.45184</v>
      </c>
      <c r="R34" s="15">
        <f t="shared" si="17"/>
        <v>5.0842501664094542E-5</v>
      </c>
      <c r="S34" s="15">
        <f t="shared" si="18"/>
        <v>9.9710663531205057E-5</v>
      </c>
      <c r="T34" s="15">
        <f t="shared" si="19"/>
        <v>-4.8868161867110516E-5</v>
      </c>
    </row>
    <row r="35" spans="1:20" x14ac:dyDescent="0.2">
      <c r="A35">
        <v>9</v>
      </c>
      <c r="B35" s="15">
        <v>1.5242191361274231</v>
      </c>
      <c r="C35" s="15">
        <v>0.53031371323706944</v>
      </c>
      <c r="D35" s="17" t="s">
        <v>17</v>
      </c>
      <c r="E35" s="15">
        <f t="shared" si="14"/>
        <v>1.7194203061578472</v>
      </c>
      <c r="F35" s="15">
        <f t="shared" si="21"/>
        <v>1.7193110306766295</v>
      </c>
      <c r="G35" s="15"/>
      <c r="H35">
        <v>9</v>
      </c>
      <c r="I35" s="15">
        <v>1.5258314528264063</v>
      </c>
      <c r="J35">
        <v>0.53149327504614274</v>
      </c>
      <c r="K35" s="17" t="s">
        <v>17</v>
      </c>
      <c r="L35" s="15">
        <f t="shared" si="15"/>
        <v>1.7193429053151914</v>
      </c>
      <c r="M35" s="15">
        <f t="shared" si="20"/>
        <v>1.7193019380435866</v>
      </c>
      <c r="N35" s="15">
        <f t="shared" si="16"/>
        <v>9.092633042939724E-6</v>
      </c>
      <c r="P35" s="15">
        <v>1.71949</v>
      </c>
      <c r="R35" s="15">
        <f t="shared" si="17"/>
        <v>1.7896932337047033E-4</v>
      </c>
      <c r="S35" s="15">
        <f t="shared" si="18"/>
        <v>1.8806195641341006E-4</v>
      </c>
      <c r="T35" s="15">
        <f t="shared" si="19"/>
        <v>-9.092633042939724E-6</v>
      </c>
    </row>
    <row r="36" spans="1:20" x14ac:dyDescent="0.2">
      <c r="A36">
        <v>10</v>
      </c>
      <c r="B36" s="15">
        <v>1.7918407402439298</v>
      </c>
      <c r="C36" s="15">
        <v>0.79783558641536301</v>
      </c>
      <c r="D36" s="17" t="s">
        <v>18</v>
      </c>
      <c r="E36" s="15">
        <f t="shared" si="14"/>
        <v>2.0525323028219589</v>
      </c>
      <c r="F36" s="15">
        <f t="shared" si="21"/>
        <v>2.0524333631869203</v>
      </c>
      <c r="G36" s="15"/>
      <c r="H36">
        <v>10</v>
      </c>
      <c r="I36" s="15">
        <v>1.7934134612856545</v>
      </c>
      <c r="J36">
        <v>0.79905492375326037</v>
      </c>
      <c r="K36" s="17" t="s">
        <v>18</v>
      </c>
      <c r="L36" s="15">
        <f t="shared" si="15"/>
        <v>2.0523554048929409</v>
      </c>
      <c r="M36" s="15">
        <f t="shared" si="20"/>
        <v>2.0523439902390508</v>
      </c>
      <c r="N36" s="15">
        <f t="shared" si="16"/>
        <v>8.9372947869481578E-5</v>
      </c>
      <c r="P36" s="15">
        <v>2.05254</v>
      </c>
      <c r="R36" s="15">
        <f t="shared" si="17"/>
        <v>1.0663681307976347E-4</v>
      </c>
      <c r="S36" s="15">
        <f t="shared" si="18"/>
        <v>1.9600976094924505E-4</v>
      </c>
      <c r="T36" s="15">
        <f t="shared" si="19"/>
        <v>-8.9372947869481578E-5</v>
      </c>
    </row>
    <row r="37" spans="1:20" x14ac:dyDescent="0.2">
      <c r="A37">
        <v>11</v>
      </c>
      <c r="B37" s="15">
        <v>2.1249527369080417</v>
      </c>
      <c r="C37" s="15">
        <v>1.130957918925654</v>
      </c>
      <c r="D37" s="17" t="s">
        <v>19</v>
      </c>
      <c r="E37" s="15">
        <f t="shared" si="14"/>
        <v>2.3163538841612343</v>
      </c>
      <c r="F37" s="15">
        <f t="shared" si="21"/>
        <v>2.3163552111579704</v>
      </c>
      <c r="G37" s="15"/>
      <c r="H37">
        <v>11</v>
      </c>
      <c r="I37" s="15">
        <v>2.1264259608634037</v>
      </c>
      <c r="J37">
        <v>1.1320969759487247</v>
      </c>
      <c r="K37" s="17" t="s">
        <v>19</v>
      </c>
      <c r="L37" s="15">
        <f t="shared" si="15"/>
        <v>2.3162373855799365</v>
      </c>
      <c r="M37" s="15">
        <f t="shared" si="20"/>
        <v>2.3162056161467355</v>
      </c>
      <c r="N37" s="15">
        <f t="shared" si="16"/>
        <v>1.4959501123490426E-4</v>
      </c>
      <c r="P37" s="15">
        <v>2.3163800000000001</v>
      </c>
      <c r="R37" s="15">
        <f t="shared" si="17"/>
        <v>2.4788842029721536E-5</v>
      </c>
      <c r="S37" s="15">
        <f t="shared" si="18"/>
        <v>1.743838532646258E-4</v>
      </c>
      <c r="T37" s="15">
        <f t="shared" si="19"/>
        <v>-1.4959501123490426E-4</v>
      </c>
    </row>
    <row r="38" spans="1:20" x14ac:dyDescent="0.2">
      <c r="A38">
        <v>12</v>
      </c>
      <c r="B38" s="15">
        <v>2.3887743182473171</v>
      </c>
      <c r="C38" s="15">
        <v>1.3948797668967039</v>
      </c>
      <c r="D38" s="17" t="s">
        <v>20</v>
      </c>
      <c r="E38" s="15">
        <f t="shared" si="14"/>
        <v>2.4420346374882</v>
      </c>
      <c r="F38" s="15">
        <f t="shared" si="21"/>
        <v>2.4420860915209595</v>
      </c>
      <c r="G38" s="15"/>
      <c r="H38">
        <v>12</v>
      </c>
      <c r="I38" s="15">
        <v>2.3903079415503994</v>
      </c>
      <c r="J38">
        <v>1.3959586018564092</v>
      </c>
      <c r="K38" s="17" t="s">
        <v>20</v>
      </c>
      <c r="L38" s="15">
        <f t="shared" si="15"/>
        <v>2.4419783293861479</v>
      </c>
      <c r="M38" s="15">
        <f t="shared" si="20"/>
        <v>2.4419063907112619</v>
      </c>
      <c r="N38" s="15">
        <f t="shared" si="16"/>
        <v>1.797008096975361E-4</v>
      </c>
      <c r="P38" s="15">
        <v>2.4418800000000003</v>
      </c>
      <c r="R38" s="15">
        <f t="shared" si="17"/>
        <v>-2.0609152095918404E-4</v>
      </c>
      <c r="S38" s="15">
        <f t="shared" si="18"/>
        <v>-2.6390711261647937E-5</v>
      </c>
      <c r="T38" s="15">
        <f t="shared" si="19"/>
        <v>-1.797008096975361E-4</v>
      </c>
    </row>
    <row r="39" spans="1:20" x14ac:dyDescent="0.2">
      <c r="A39">
        <v>13</v>
      </c>
      <c r="B39" s="15">
        <v>2.5144550715742828</v>
      </c>
      <c r="C39" s="15">
        <v>1.520610647259693</v>
      </c>
      <c r="D39" s="17" t="s">
        <v>21</v>
      </c>
      <c r="E39" s="15">
        <f t="shared" si="14"/>
        <v>2.5718754157502404</v>
      </c>
      <c r="F39" s="15">
        <f t="shared" si="21"/>
        <v>2.5719070005221782</v>
      </c>
      <c r="G39" s="15"/>
      <c r="H39">
        <v>13</v>
      </c>
      <c r="I39" s="15">
        <v>2.5160488853566108</v>
      </c>
      <c r="J39">
        <v>1.5216593764209356</v>
      </c>
      <c r="K39" s="17" t="s">
        <v>21</v>
      </c>
      <c r="L39" s="15">
        <f t="shared" si="15"/>
        <v>2.5714393011147307</v>
      </c>
      <c r="M39" s="15">
        <f t="shared" si="20"/>
        <v>2.5714171887530419</v>
      </c>
      <c r="N39" s="15">
        <f t="shared" si="16"/>
        <v>4.8981176913631685E-4</v>
      </c>
      <c r="P39" s="15">
        <v>2.5715700000000004</v>
      </c>
      <c r="R39" s="15">
        <f t="shared" si="17"/>
        <v>-3.3700052217788823E-4</v>
      </c>
      <c r="S39" s="15">
        <f t="shared" si="18"/>
        <v>1.5281124695842863E-4</v>
      </c>
      <c r="T39" s="15">
        <f t="shared" si="19"/>
        <v>-4.8981176913631685E-4</v>
      </c>
    </row>
    <row r="40" spans="1:20" x14ac:dyDescent="0.2">
      <c r="A40">
        <v>14</v>
      </c>
      <c r="B40" s="15">
        <v>2.6442958498363232</v>
      </c>
      <c r="C40" s="15">
        <v>1.6504315562609118</v>
      </c>
      <c r="D40" s="17" t="s">
        <v>22</v>
      </c>
      <c r="E40" s="15">
        <f t="shared" si="14"/>
        <v>2.800546786400123</v>
      </c>
      <c r="F40" s="15">
        <f t="shared" si="21"/>
        <v>2.8005386013922191</v>
      </c>
      <c r="G40" s="15"/>
      <c r="H40">
        <v>14</v>
      </c>
      <c r="I40" s="15">
        <v>2.6455098570851936</v>
      </c>
      <c r="J40">
        <v>1.6511701744627161</v>
      </c>
      <c r="K40" s="17" t="s">
        <v>22</v>
      </c>
      <c r="L40" s="15">
        <f t="shared" si="15"/>
        <v>2.8003810195415944</v>
      </c>
      <c r="M40" s="15">
        <f t="shared" si="20"/>
        <v>2.8004285999147145</v>
      </c>
      <c r="N40" s="15">
        <f t="shared" si="16"/>
        <v>1.1000147750461764E-4</v>
      </c>
      <c r="P40" s="15">
        <v>2.8006900000000003</v>
      </c>
      <c r="R40" s="15">
        <f t="shared" si="17"/>
        <v>1.5139860778123904E-4</v>
      </c>
      <c r="S40" s="15">
        <f t="shared" si="18"/>
        <v>2.6140008528585668E-4</v>
      </c>
      <c r="T40" s="15">
        <f t="shared" si="19"/>
        <v>-1.1000147750461764E-4</v>
      </c>
    </row>
    <row r="41" spans="1:20" x14ac:dyDescent="0.2">
      <c r="A41">
        <v>15</v>
      </c>
      <c r="B41" s="15">
        <v>2.8729672204862058</v>
      </c>
      <c r="C41" s="15">
        <v>1.8790631571309524</v>
      </c>
      <c r="D41" s="17" t="s">
        <v>23</v>
      </c>
      <c r="E41" s="15"/>
      <c r="F41" s="15">
        <f t="shared" si="21"/>
        <v>2.9828898782091362</v>
      </c>
      <c r="G41" s="15"/>
      <c r="H41">
        <v>15</v>
      </c>
      <c r="I41" s="15">
        <v>2.8744515755120572</v>
      </c>
      <c r="J41">
        <v>1.8801815856243882</v>
      </c>
      <c r="K41" s="17" t="s">
        <v>23</v>
      </c>
      <c r="L41" s="15"/>
      <c r="M41" s="15">
        <f t="shared" si="20"/>
        <v>2.9825897223862672</v>
      </c>
      <c r="N41" s="15">
        <f t="shared" si="16"/>
        <v>3.0015582286901932E-4</v>
      </c>
      <c r="P41" s="15">
        <v>2.9828400000000004</v>
      </c>
      <c r="R41" s="15">
        <f t="shared" si="17"/>
        <v>-4.9878209135822971E-5</v>
      </c>
      <c r="S41" s="15">
        <f t="shared" si="18"/>
        <v>2.5027761373319635E-4</v>
      </c>
      <c r="T41" s="15">
        <f t="shared" si="19"/>
        <v>-3.0015582286901932E-4</v>
      </c>
    </row>
    <row r="42" spans="1:20" x14ac:dyDescent="0.2">
      <c r="A42">
        <v>16</v>
      </c>
      <c r="B42" s="15"/>
      <c r="C42" s="15">
        <v>2.0614144339478697</v>
      </c>
      <c r="D42" s="17" t="s">
        <v>24</v>
      </c>
      <c r="F42" s="15">
        <f t="shared" si="21"/>
        <v>3.1348109419548242</v>
      </c>
      <c r="G42" s="15"/>
      <c r="H42">
        <v>16</v>
      </c>
      <c r="J42">
        <v>2.0623427080959411</v>
      </c>
      <c r="K42" s="17" t="s">
        <v>24</v>
      </c>
      <c r="M42" s="15">
        <f t="shared" si="20"/>
        <v>3.1345406587035285</v>
      </c>
      <c r="N42" s="15">
        <f t="shared" si="16"/>
        <v>2.7028325129574426E-4</v>
      </c>
      <c r="P42" s="15">
        <v>3.1349100000000005</v>
      </c>
      <c r="R42" s="15">
        <f t="shared" si="17"/>
        <v>9.9058045176292353E-5</v>
      </c>
      <c r="S42" s="15">
        <f t="shared" si="18"/>
        <v>3.6934129647203662E-4</v>
      </c>
      <c r="T42" s="15">
        <f t="shared" si="19"/>
        <v>-2.7028325129574426E-4</v>
      </c>
    </row>
    <row r="43" spans="1:20" x14ac:dyDescent="0.2">
      <c r="A43">
        <v>17</v>
      </c>
      <c r="B43" s="15"/>
      <c r="C43" s="15">
        <v>2.2133354976935578</v>
      </c>
      <c r="D43" s="17" t="s">
        <v>25</v>
      </c>
      <c r="F43" s="15">
        <f t="shared" si="21"/>
        <v>3.2881820158534296</v>
      </c>
      <c r="G43" s="15"/>
      <c r="H43">
        <v>17</v>
      </c>
      <c r="J43">
        <v>2.2142936444132024</v>
      </c>
      <c r="K43" s="17" t="s">
        <v>25</v>
      </c>
      <c r="M43" s="15">
        <f t="shared" si="20"/>
        <v>3.286831597115873</v>
      </c>
      <c r="N43" s="15">
        <f t="shared" si="16"/>
        <v>1.3504187375565913E-3</v>
      </c>
      <c r="P43" s="15">
        <v>3.2873000000000006</v>
      </c>
      <c r="R43" s="15">
        <f t="shared" si="17"/>
        <v>-8.8201585342906341E-4</v>
      </c>
      <c r="S43" s="15">
        <f t="shared" si="18"/>
        <v>4.6840288412752784E-4</v>
      </c>
      <c r="T43" s="15">
        <f t="shared" si="19"/>
        <v>-1.3504187375565913E-3</v>
      </c>
    </row>
    <row r="44" spans="1:20" x14ac:dyDescent="0.2">
      <c r="A44">
        <v>18</v>
      </c>
      <c r="B44" s="15"/>
      <c r="C44" s="15">
        <v>2.3667065715921631</v>
      </c>
      <c r="D44" s="17" t="s">
        <v>26</v>
      </c>
      <c r="F44" s="15">
        <f t="shared" si="21"/>
        <v>3.445373116499721</v>
      </c>
      <c r="G44" s="15"/>
      <c r="H44">
        <v>18</v>
      </c>
      <c r="J44">
        <v>2.366584582825547</v>
      </c>
      <c r="K44" s="17" t="s">
        <v>26</v>
      </c>
      <c r="M44" s="15">
        <f t="shared" si="20"/>
        <v>3.4449825716375901</v>
      </c>
      <c r="N44" s="15">
        <f t="shared" si="16"/>
        <v>3.9054486213085937E-4</v>
      </c>
      <c r="P44" s="15">
        <v>3.4454200000000004</v>
      </c>
      <c r="R44" s="15">
        <f t="shared" si="17"/>
        <v>4.6883500279371049E-5</v>
      </c>
      <c r="S44" s="15">
        <f t="shared" si="18"/>
        <v>4.3742836241023042E-4</v>
      </c>
      <c r="T44" s="15">
        <f t="shared" si="19"/>
        <v>-3.9054486213085937E-4</v>
      </c>
    </row>
    <row r="45" spans="1:20" x14ac:dyDescent="0.2">
      <c r="A45">
        <v>19</v>
      </c>
      <c r="B45" s="15"/>
      <c r="C45" s="15">
        <v>2.5238976722384545</v>
      </c>
      <c r="D45" s="17" t="s">
        <v>27</v>
      </c>
      <c r="F45" s="15">
        <f t="shared" si="21"/>
        <v>3.5940541575588885</v>
      </c>
      <c r="G45" s="15"/>
      <c r="H45">
        <v>19</v>
      </c>
      <c r="J45">
        <v>2.5247355573472641</v>
      </c>
      <c r="K45" s="17" t="s">
        <v>27</v>
      </c>
      <c r="M45" s="15">
        <f t="shared" si="20"/>
        <v>3.5935934873737421</v>
      </c>
      <c r="N45" s="15">
        <f t="shared" si="16"/>
        <v>4.6067018514639457E-4</v>
      </c>
      <c r="P45" s="15">
        <v>3.5941000000000005</v>
      </c>
      <c r="R45" s="15">
        <f t="shared" si="17"/>
        <v>4.5842441112053933E-5</v>
      </c>
      <c r="S45" s="15">
        <f t="shared" si="18"/>
        <v>5.0651262625844851E-4</v>
      </c>
      <c r="T45" s="15">
        <f t="shared" si="19"/>
        <v>-4.6067018514639457E-4</v>
      </c>
    </row>
    <row r="46" spans="1:20" x14ac:dyDescent="0.2">
      <c r="A46">
        <v>20</v>
      </c>
      <c r="B46" s="15"/>
      <c r="C46" s="15">
        <v>2.6725787132976224</v>
      </c>
      <c r="D46" s="17" t="s">
        <v>28</v>
      </c>
      <c r="F46" s="15">
        <f t="shared" si="21"/>
        <v>3.8037556258808394</v>
      </c>
      <c r="G46" s="15"/>
      <c r="H46">
        <v>20</v>
      </c>
      <c r="J46">
        <v>2.673346473083416</v>
      </c>
      <c r="K46" s="17" t="s">
        <v>28</v>
      </c>
      <c r="M46" s="15">
        <f t="shared" si="20"/>
        <v>3.803304779608641</v>
      </c>
      <c r="N46" s="15">
        <f t="shared" si="16"/>
        <v>4.5084627219837969E-4</v>
      </c>
      <c r="P46" s="15">
        <v>3.8037800000000006</v>
      </c>
      <c r="R46" s="15">
        <f t="shared" si="17"/>
        <v>2.4374119161230112E-5</v>
      </c>
      <c r="S46" s="15">
        <f t="shared" si="18"/>
        <v>4.7522039135960981E-4</v>
      </c>
      <c r="T46" s="15">
        <f t="shared" si="19"/>
        <v>-4.5084627219837969E-4</v>
      </c>
    </row>
    <row r="47" spans="1:20" x14ac:dyDescent="0.2">
      <c r="A47">
        <v>21</v>
      </c>
      <c r="B47" s="15"/>
      <c r="C47" s="15">
        <v>2.8822801816195729</v>
      </c>
      <c r="H47">
        <v>21</v>
      </c>
      <c r="J47">
        <v>2.8830577653183149</v>
      </c>
      <c r="Q47" s="1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8"/>
  <sheetViews>
    <sheetView workbookViewId="0">
      <selection activeCell="E29" sqref="E29"/>
    </sheetView>
  </sheetViews>
  <sheetFormatPr defaultRowHeight="15" x14ac:dyDescent="0.2"/>
  <cols>
    <col min="8" max="8" width="9.5546875" bestFit="1" customWidth="1"/>
  </cols>
  <sheetData>
    <row r="2" spans="1:9" x14ac:dyDescent="0.2">
      <c r="A2" t="s">
        <v>67</v>
      </c>
      <c r="B2" t="s">
        <v>68</v>
      </c>
    </row>
    <row r="3" spans="1:9" x14ac:dyDescent="0.2">
      <c r="A3" t="s">
        <v>69</v>
      </c>
      <c r="B3" t="s">
        <v>70</v>
      </c>
    </row>
    <row r="4" spans="1:9" x14ac:dyDescent="0.2">
      <c r="A4" t="s">
        <v>74</v>
      </c>
      <c r="B4" t="s">
        <v>71</v>
      </c>
      <c r="E4" t="s">
        <v>75</v>
      </c>
      <c r="G4" t="s">
        <v>76</v>
      </c>
      <c r="H4">
        <f>0.007/1000</f>
        <v>6.9999999999999999E-6</v>
      </c>
    </row>
    <row r="5" spans="1:9" x14ac:dyDescent="0.2">
      <c r="A5" t="s">
        <v>72</v>
      </c>
      <c r="B5" t="s">
        <v>73</v>
      </c>
      <c r="G5" t="s">
        <v>77</v>
      </c>
      <c r="H5">
        <f>-0.027/1000</f>
        <v>-2.6999999999999999E-5</v>
      </c>
      <c r="I5">
        <f>H4+H5</f>
        <v>-1.9999999999999998E-5</v>
      </c>
    </row>
    <row r="8" spans="1:9" x14ac:dyDescent="0.2">
      <c r="B8">
        <f>I5</f>
        <v>-1.9999999999999998E-5</v>
      </c>
      <c r="D8" t="s">
        <v>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B29"/>
  <sheetViews>
    <sheetView workbookViewId="0">
      <selection activeCell="L20" sqref="L20"/>
    </sheetView>
  </sheetViews>
  <sheetFormatPr defaultRowHeight="15" x14ac:dyDescent="0.2"/>
  <cols>
    <col min="4" max="4" width="10.109375" bestFit="1" customWidth="1"/>
    <col min="25" max="25" width="12.21875" bestFit="1" customWidth="1"/>
  </cols>
  <sheetData>
    <row r="2" spans="1:28" x14ac:dyDescent="0.2">
      <c r="A2" t="s">
        <v>135</v>
      </c>
      <c r="B2" s="13" t="s">
        <v>37</v>
      </c>
      <c r="C2" s="1" t="s">
        <v>7</v>
      </c>
      <c r="D2" t="s">
        <v>38</v>
      </c>
      <c r="E2" s="1" t="s">
        <v>8</v>
      </c>
      <c r="F2" t="s">
        <v>136</v>
      </c>
      <c r="G2" s="1" t="s">
        <v>30</v>
      </c>
      <c r="H2" t="s">
        <v>137</v>
      </c>
      <c r="I2" s="1" t="s">
        <v>32</v>
      </c>
      <c r="J2" t="s">
        <v>138</v>
      </c>
      <c r="K2" s="1" t="s">
        <v>34</v>
      </c>
      <c r="L2" t="s">
        <v>139</v>
      </c>
      <c r="M2" s="1" t="s">
        <v>81</v>
      </c>
      <c r="N2" t="s">
        <v>140</v>
      </c>
      <c r="Q2" t="s">
        <v>38</v>
      </c>
      <c r="R2" s="15" t="s">
        <v>136</v>
      </c>
      <c r="S2" t="s">
        <v>137</v>
      </c>
      <c r="T2" t="s">
        <v>138</v>
      </c>
      <c r="U2" t="s">
        <v>139</v>
      </c>
      <c r="X2" t="s">
        <v>142</v>
      </c>
    </row>
    <row r="3" spans="1:28" x14ac:dyDescent="0.2">
      <c r="A3" s="17" t="s">
        <v>9</v>
      </c>
      <c r="B3" s="15">
        <v>9.0889999999999999E-2</v>
      </c>
      <c r="C3" s="15">
        <v>9.0829999999999994E-2</v>
      </c>
      <c r="D3" s="15">
        <f>B3-C3</f>
        <v>6.0000000000004494E-5</v>
      </c>
      <c r="E3" s="15">
        <v>9.0859999999999996E-2</v>
      </c>
      <c r="F3" s="15">
        <f>C3-E3</f>
        <v>-3.0000000000002247E-5</v>
      </c>
      <c r="G3" s="15">
        <v>9.0859999999999996E-2</v>
      </c>
      <c r="H3" s="15">
        <f>E3-G3</f>
        <v>0</v>
      </c>
      <c r="I3" s="15">
        <v>9.0880000000000002E-2</v>
      </c>
      <c r="J3" s="15">
        <f>G3-I3</f>
        <v>-2.0000000000006124E-5</v>
      </c>
      <c r="K3" s="15">
        <v>9.0920000000000001E-2</v>
      </c>
      <c r="L3" s="15">
        <f>I3-K3</f>
        <v>-3.999999999999837E-5</v>
      </c>
      <c r="M3" s="15">
        <v>9.0880000000000002E-2</v>
      </c>
      <c r="N3" s="15">
        <f>K3-M3</f>
        <v>3.999999999999837E-5</v>
      </c>
      <c r="Q3" s="15">
        <v>6.0000000000004494E-5</v>
      </c>
      <c r="R3" s="15">
        <v>-3.0000000000002247E-5</v>
      </c>
      <c r="S3" s="15">
        <v>0</v>
      </c>
      <c r="T3" s="15">
        <v>-2.0000000000006124E-5</v>
      </c>
      <c r="U3" s="15">
        <v>-3.999999999999837E-5</v>
      </c>
      <c r="X3" s="15">
        <f>ABS(Q3)</f>
        <v>6.0000000000004494E-5</v>
      </c>
      <c r="Y3" s="15">
        <f t="shared" ref="Y3:AB18" si="0">ABS(R3)</f>
        <v>3.0000000000002247E-5</v>
      </c>
      <c r="Z3" s="15">
        <f t="shared" si="0"/>
        <v>0</v>
      </c>
      <c r="AA3" s="15">
        <f t="shared" si="0"/>
        <v>2.0000000000006124E-5</v>
      </c>
      <c r="AB3" s="15">
        <f t="shared" si="0"/>
        <v>3.999999999999837E-5</v>
      </c>
    </row>
    <row r="4" spans="1:28" x14ac:dyDescent="0.2">
      <c r="A4" s="17" t="s">
        <v>10</v>
      </c>
      <c r="B4" s="15">
        <v>0.16395999999999999</v>
      </c>
      <c r="C4" s="15">
        <v>0.16399</v>
      </c>
      <c r="D4" s="15">
        <f t="shared" ref="D4:D22" si="1">B4-C4</f>
        <v>-3.0000000000002247E-5</v>
      </c>
      <c r="E4" s="15">
        <v>0.16403999999999999</v>
      </c>
      <c r="F4" s="15">
        <f t="shared" ref="F4:F22" si="2">C4-E4</f>
        <v>-4.9999999999994493E-5</v>
      </c>
      <c r="G4" s="15">
        <v>0.16403999999999999</v>
      </c>
      <c r="H4" s="15">
        <f t="shared" ref="H4:H22" si="3">E4-G4</f>
        <v>0</v>
      </c>
      <c r="I4" s="15">
        <v>0.16397999999999999</v>
      </c>
      <c r="J4" s="15">
        <f t="shared" ref="J4:J22" si="4">G4-I4</f>
        <v>6.0000000000004494E-5</v>
      </c>
      <c r="K4" s="15">
        <v>0.16400000000000001</v>
      </c>
      <c r="L4" s="15">
        <f t="shared" ref="L4:L22" si="5">I4-K4</f>
        <v>-2.0000000000020002E-5</v>
      </c>
      <c r="M4" s="15">
        <v>0.16403000000000001</v>
      </c>
      <c r="N4" s="15">
        <f t="shared" ref="N4:N22" si="6">K4-M4</f>
        <v>-3.0000000000002247E-5</v>
      </c>
      <c r="Q4" s="15">
        <v>-3.0000000000002247E-5</v>
      </c>
      <c r="R4" s="15">
        <v>-4.9999999999994493E-5</v>
      </c>
      <c r="S4" s="15">
        <v>0</v>
      </c>
      <c r="T4" s="15">
        <v>6.0000000000004494E-5</v>
      </c>
      <c r="U4" s="15">
        <v>-2.0000000000020002E-5</v>
      </c>
      <c r="X4" s="15">
        <f t="shared" ref="X4:X22" si="7">ABS(Q4)</f>
        <v>3.0000000000002247E-5</v>
      </c>
      <c r="Y4" s="15">
        <f t="shared" si="0"/>
        <v>4.9999999999994493E-5</v>
      </c>
      <c r="Z4" s="15">
        <f t="shared" si="0"/>
        <v>0</v>
      </c>
      <c r="AA4" s="15">
        <f t="shared" si="0"/>
        <v>6.0000000000004494E-5</v>
      </c>
      <c r="AB4" s="15">
        <f t="shared" si="0"/>
        <v>2.0000000000020002E-5</v>
      </c>
    </row>
    <row r="5" spans="1:28" x14ac:dyDescent="0.2">
      <c r="A5" s="17" t="s">
        <v>11</v>
      </c>
      <c r="B5" s="15">
        <v>0.14607000000000001</v>
      </c>
      <c r="C5" s="15">
        <v>0.14587</v>
      </c>
      <c r="D5" s="15">
        <f t="shared" si="1"/>
        <v>2.0000000000000573E-4</v>
      </c>
      <c r="E5" s="15">
        <v>0.14579</v>
      </c>
      <c r="F5" s="15">
        <f t="shared" si="2"/>
        <v>7.999999999999674E-5</v>
      </c>
      <c r="G5" s="15">
        <v>0.14601</v>
      </c>
      <c r="H5" s="15">
        <f t="shared" si="3"/>
        <v>-2.1999999999999797E-4</v>
      </c>
      <c r="I5" s="15">
        <v>0.14609</v>
      </c>
      <c r="J5" s="15">
        <f t="shared" si="4"/>
        <v>-7.999999999999674E-5</v>
      </c>
      <c r="K5" s="15">
        <v>0.14599000000000001</v>
      </c>
      <c r="L5" s="15">
        <f t="shared" si="5"/>
        <v>9.9999999999988987E-5</v>
      </c>
      <c r="M5" s="15">
        <v>0.14599999999999999</v>
      </c>
      <c r="N5" s="15">
        <f t="shared" si="6"/>
        <v>-9.9999999999822453E-6</v>
      </c>
      <c r="Q5" s="15">
        <v>2.0000000000000573E-4</v>
      </c>
      <c r="R5" s="15">
        <v>7.999999999999674E-5</v>
      </c>
      <c r="S5" s="15">
        <v>-2.1999999999999797E-4</v>
      </c>
      <c r="T5" s="15">
        <v>-7.999999999999674E-5</v>
      </c>
      <c r="U5" s="15">
        <v>9.9999999999988987E-5</v>
      </c>
      <c r="X5" s="15">
        <f t="shared" si="7"/>
        <v>2.0000000000000573E-4</v>
      </c>
      <c r="Y5" s="15">
        <f t="shared" si="0"/>
        <v>7.999999999999674E-5</v>
      </c>
      <c r="Z5" s="15">
        <f t="shared" si="0"/>
        <v>2.1999999999999797E-4</v>
      </c>
      <c r="AA5" s="15">
        <f t="shared" si="0"/>
        <v>7.999999999999674E-5</v>
      </c>
      <c r="AB5" s="15">
        <f t="shared" si="0"/>
        <v>9.9999999999988987E-5</v>
      </c>
    </row>
    <row r="6" spans="1:28" x14ac:dyDescent="0.2">
      <c r="A6" s="17" t="s">
        <v>12</v>
      </c>
      <c r="B6" s="15">
        <v>0.21299000000000001</v>
      </c>
      <c r="C6" s="15">
        <v>0.21321999999999999</v>
      </c>
      <c r="D6" s="15">
        <f t="shared" si="1"/>
        <v>-2.2999999999998022E-4</v>
      </c>
      <c r="E6" s="15">
        <v>0.21326999999999999</v>
      </c>
      <c r="F6" s="15">
        <f t="shared" si="2"/>
        <v>-4.9999999999994493E-5</v>
      </c>
      <c r="G6" s="15">
        <v>0.21309</v>
      </c>
      <c r="H6" s="15">
        <f t="shared" si="3"/>
        <v>1.7999999999998573E-4</v>
      </c>
      <c r="I6" s="15">
        <v>0.21310999999999999</v>
      </c>
      <c r="J6" s="15">
        <f t="shared" si="4"/>
        <v>-1.9999999999992246E-5</v>
      </c>
      <c r="K6" s="15">
        <v>0.21337</v>
      </c>
      <c r="L6" s="15">
        <f t="shared" si="5"/>
        <v>-2.6000000000001022E-4</v>
      </c>
      <c r="M6" s="15">
        <v>0.21332000000000001</v>
      </c>
      <c r="N6" s="15">
        <f t="shared" si="6"/>
        <v>4.9999999999994493E-5</v>
      </c>
      <c r="Q6" s="15">
        <v>-2.2999999999998022E-4</v>
      </c>
      <c r="R6" s="15">
        <v>-4.9999999999994493E-5</v>
      </c>
      <c r="S6" s="15">
        <v>1.7999999999998573E-4</v>
      </c>
      <c r="T6" s="15">
        <v>-1.9999999999992246E-5</v>
      </c>
      <c r="U6" s="15">
        <v>-2.6000000000001022E-4</v>
      </c>
      <c r="X6" s="15">
        <f t="shared" si="7"/>
        <v>2.2999999999998022E-4</v>
      </c>
      <c r="Y6" s="15">
        <f t="shared" si="0"/>
        <v>4.9999999999994493E-5</v>
      </c>
      <c r="Z6" s="15">
        <f t="shared" si="0"/>
        <v>1.7999999999998573E-4</v>
      </c>
      <c r="AA6" s="15">
        <f t="shared" si="0"/>
        <v>1.9999999999992246E-5</v>
      </c>
      <c r="AB6" s="15">
        <f t="shared" si="0"/>
        <v>2.6000000000001022E-4</v>
      </c>
    </row>
    <row r="7" spans="1:28" x14ac:dyDescent="0.2">
      <c r="A7" s="17" t="s">
        <v>13</v>
      </c>
      <c r="B7" s="15">
        <v>0.18623000000000001</v>
      </c>
      <c r="C7" s="15">
        <v>0.18615999999999999</v>
      </c>
      <c r="D7" s="15">
        <f t="shared" si="1"/>
        <v>7.0000000000014495E-5</v>
      </c>
      <c r="E7" s="15">
        <v>0.18623000000000001</v>
      </c>
      <c r="F7" s="15">
        <f t="shared" si="2"/>
        <v>-7.0000000000014495E-5</v>
      </c>
      <c r="G7" s="15">
        <v>0.18612000000000001</v>
      </c>
      <c r="H7" s="15">
        <f t="shared" si="3"/>
        <v>1.0999999999999899E-4</v>
      </c>
      <c r="I7" s="15">
        <v>0.18607000000000001</v>
      </c>
      <c r="J7" s="15">
        <f t="shared" si="4"/>
        <v>4.9999999999994493E-5</v>
      </c>
      <c r="K7" s="15">
        <v>0.18595999999999999</v>
      </c>
      <c r="L7" s="15">
        <f t="shared" si="5"/>
        <v>1.1000000000002674E-4</v>
      </c>
      <c r="M7" s="15">
        <v>0.18590000000000001</v>
      </c>
      <c r="N7" s="15">
        <f t="shared" si="6"/>
        <v>5.9999999999976739E-5</v>
      </c>
      <c r="Q7" s="15">
        <v>7.0000000000014495E-5</v>
      </c>
      <c r="R7" s="15">
        <v>-7.0000000000014495E-5</v>
      </c>
      <c r="S7" s="15">
        <v>1.0999999999999899E-4</v>
      </c>
      <c r="T7" s="15">
        <v>4.9999999999994493E-5</v>
      </c>
      <c r="U7" s="15">
        <v>1.1000000000002674E-4</v>
      </c>
      <c r="X7" s="15">
        <f t="shared" si="7"/>
        <v>7.0000000000014495E-5</v>
      </c>
      <c r="Y7" s="15">
        <f t="shared" si="0"/>
        <v>7.0000000000014495E-5</v>
      </c>
      <c r="Z7" s="15">
        <f t="shared" si="0"/>
        <v>1.0999999999999899E-4</v>
      </c>
      <c r="AA7" s="15">
        <f t="shared" si="0"/>
        <v>4.9999999999994493E-5</v>
      </c>
      <c r="AB7" s="15">
        <f t="shared" si="0"/>
        <v>1.1000000000002674E-4</v>
      </c>
    </row>
    <row r="8" spans="1:28" x14ac:dyDescent="0.2">
      <c r="A8" s="17" t="s">
        <v>14</v>
      </c>
      <c r="B8" s="15">
        <v>0.19975000000000001</v>
      </c>
      <c r="C8" s="15">
        <v>0.19971</v>
      </c>
      <c r="D8" s="15">
        <f t="shared" si="1"/>
        <v>4.0000000000012248E-5</v>
      </c>
      <c r="E8" s="15">
        <v>0.19974</v>
      </c>
      <c r="F8" s="15">
        <f t="shared" si="2"/>
        <v>-3.0000000000002247E-5</v>
      </c>
      <c r="G8" s="15">
        <v>0.19971</v>
      </c>
      <c r="H8" s="15">
        <f t="shared" si="3"/>
        <v>3.0000000000002247E-5</v>
      </c>
      <c r="I8" s="15">
        <v>0.19972999999999999</v>
      </c>
      <c r="J8" s="15">
        <f t="shared" si="4"/>
        <v>-1.9999999999992246E-5</v>
      </c>
      <c r="K8" s="15">
        <v>0.19978000000000001</v>
      </c>
      <c r="L8" s="15">
        <f t="shared" si="5"/>
        <v>-5.0000000000022249E-5</v>
      </c>
      <c r="M8" s="15">
        <v>0.19969000000000001</v>
      </c>
      <c r="N8" s="15">
        <f t="shared" si="6"/>
        <v>9.0000000000006741E-5</v>
      </c>
      <c r="Q8" s="15">
        <v>4.0000000000012248E-5</v>
      </c>
      <c r="R8" s="15">
        <v>-3.0000000000002247E-5</v>
      </c>
      <c r="S8" s="15">
        <v>3.0000000000002247E-5</v>
      </c>
      <c r="T8" s="15">
        <v>-1.9999999999992246E-5</v>
      </c>
      <c r="U8" s="15">
        <v>-5.0000000000022249E-5</v>
      </c>
      <c r="X8" s="15">
        <f t="shared" si="7"/>
        <v>4.0000000000012248E-5</v>
      </c>
      <c r="Y8" s="15">
        <f t="shared" si="0"/>
        <v>3.0000000000002247E-5</v>
      </c>
      <c r="Z8" s="15">
        <f t="shared" si="0"/>
        <v>3.0000000000002247E-5</v>
      </c>
      <c r="AA8" s="15">
        <f t="shared" si="0"/>
        <v>1.9999999999992246E-5</v>
      </c>
      <c r="AB8" s="15">
        <f t="shared" si="0"/>
        <v>5.0000000000022249E-5</v>
      </c>
    </row>
    <row r="9" spans="1:28" x14ac:dyDescent="0.2">
      <c r="A9" s="17" t="s">
        <v>15</v>
      </c>
      <c r="B9" s="15">
        <v>0.20505000000000001</v>
      </c>
      <c r="C9" s="15">
        <v>0.20496</v>
      </c>
      <c r="D9" s="15">
        <f t="shared" si="1"/>
        <v>9.0000000000006741E-5</v>
      </c>
      <c r="E9" s="15">
        <v>0.20496</v>
      </c>
      <c r="F9" s="15">
        <f t="shared" si="2"/>
        <v>0</v>
      </c>
      <c r="G9" s="15">
        <v>0.20499999999999999</v>
      </c>
      <c r="H9" s="15">
        <f t="shared" si="3"/>
        <v>-3.9999999999984492E-5</v>
      </c>
      <c r="I9" s="15">
        <v>0.20504</v>
      </c>
      <c r="J9" s="15">
        <f t="shared" si="4"/>
        <v>-4.0000000000012248E-5</v>
      </c>
      <c r="K9" s="15">
        <v>0.20502999999999999</v>
      </c>
      <c r="L9" s="15">
        <f t="shared" si="5"/>
        <v>1.0000000000010001E-5</v>
      </c>
      <c r="M9" s="15">
        <v>0.20501</v>
      </c>
      <c r="N9" s="15">
        <f t="shared" si="6"/>
        <v>1.9999999999992246E-5</v>
      </c>
      <c r="Q9" s="15">
        <v>9.0000000000006741E-5</v>
      </c>
      <c r="R9" s="15">
        <v>0</v>
      </c>
      <c r="S9" s="15">
        <v>-3.9999999999984492E-5</v>
      </c>
      <c r="T9" s="15">
        <v>-4.0000000000012248E-5</v>
      </c>
      <c r="U9" s="15">
        <v>1.0000000000010001E-5</v>
      </c>
      <c r="X9" s="15">
        <f t="shared" si="7"/>
        <v>9.0000000000006741E-5</v>
      </c>
      <c r="Y9" s="15">
        <f t="shared" si="0"/>
        <v>0</v>
      </c>
      <c r="Z9" s="15">
        <f t="shared" si="0"/>
        <v>3.9999999999984492E-5</v>
      </c>
      <c r="AA9" s="15">
        <f t="shared" si="0"/>
        <v>4.0000000000012248E-5</v>
      </c>
      <c r="AB9" s="15">
        <f t="shared" si="0"/>
        <v>1.0000000000010001E-5</v>
      </c>
    </row>
    <row r="10" spans="1:28" x14ac:dyDescent="0.2">
      <c r="A10" s="17" t="s">
        <v>16</v>
      </c>
      <c r="B10" s="15">
        <v>0.24686</v>
      </c>
      <c r="C10" s="15">
        <v>0.24689</v>
      </c>
      <c r="D10" s="15">
        <f t="shared" si="1"/>
        <v>-3.0000000000002247E-5</v>
      </c>
      <c r="E10" s="15">
        <v>0.24695</v>
      </c>
      <c r="F10" s="15">
        <f t="shared" si="2"/>
        <v>-6.0000000000004494E-5</v>
      </c>
      <c r="G10" s="15">
        <v>0.24693999999999999</v>
      </c>
      <c r="H10" s="15">
        <f t="shared" si="3"/>
        <v>1.0000000000010001E-5</v>
      </c>
      <c r="I10" s="15">
        <v>0.24690000000000001</v>
      </c>
      <c r="J10" s="15">
        <f t="shared" si="4"/>
        <v>3.9999999999984492E-5</v>
      </c>
      <c r="K10" s="15">
        <v>0.24689</v>
      </c>
      <c r="L10" s="15">
        <f t="shared" si="5"/>
        <v>1.0000000000010001E-5</v>
      </c>
      <c r="M10" s="15">
        <v>0.24686</v>
      </c>
      <c r="N10" s="15">
        <f t="shared" si="6"/>
        <v>3.0000000000002247E-5</v>
      </c>
      <c r="Q10" s="15">
        <v>-3.0000000000002247E-5</v>
      </c>
      <c r="R10" s="15">
        <v>-6.0000000000004494E-5</v>
      </c>
      <c r="S10" s="15">
        <v>1.0000000000010001E-5</v>
      </c>
      <c r="T10" s="15">
        <v>3.9999999999984492E-5</v>
      </c>
      <c r="U10" s="15">
        <v>1.0000000000010001E-5</v>
      </c>
      <c r="X10" s="15">
        <f t="shared" si="7"/>
        <v>3.0000000000002247E-5</v>
      </c>
      <c r="Y10" s="15">
        <f t="shared" si="0"/>
        <v>6.0000000000004494E-5</v>
      </c>
      <c r="Z10" s="15">
        <f t="shared" si="0"/>
        <v>1.0000000000010001E-5</v>
      </c>
      <c r="AA10" s="15">
        <f t="shared" si="0"/>
        <v>3.9999999999984492E-5</v>
      </c>
      <c r="AB10" s="15">
        <f t="shared" si="0"/>
        <v>1.0000000000010001E-5</v>
      </c>
    </row>
    <row r="11" spans="1:28" x14ac:dyDescent="0.2">
      <c r="A11" s="17" t="s">
        <v>17</v>
      </c>
      <c r="B11" s="15">
        <v>0.26756999999999997</v>
      </c>
      <c r="C11" s="15">
        <v>0.26758999999999999</v>
      </c>
      <c r="D11" s="15">
        <f t="shared" si="1"/>
        <v>-2.0000000000020002E-5</v>
      </c>
      <c r="E11" s="15">
        <v>0.26765</v>
      </c>
      <c r="F11" s="15">
        <f t="shared" si="2"/>
        <v>-6.0000000000004494E-5</v>
      </c>
      <c r="G11" s="15">
        <v>0.26758999999999999</v>
      </c>
      <c r="H11" s="15">
        <f t="shared" si="3"/>
        <v>6.0000000000004494E-5</v>
      </c>
      <c r="I11" s="15">
        <v>0.26762999999999998</v>
      </c>
      <c r="J11" s="15">
        <f t="shared" si="4"/>
        <v>-3.9999999999984492E-5</v>
      </c>
      <c r="K11" s="15">
        <v>0.2676</v>
      </c>
      <c r="L11" s="15">
        <f t="shared" si="5"/>
        <v>2.9999999999974492E-5</v>
      </c>
      <c r="M11" s="15">
        <v>0.26721</v>
      </c>
      <c r="N11" s="15">
        <f t="shared" si="6"/>
        <v>3.9000000000000146E-4</v>
      </c>
      <c r="Q11" s="15">
        <v>-2.0000000000020002E-5</v>
      </c>
      <c r="R11" s="15">
        <v>-6.0000000000004494E-5</v>
      </c>
      <c r="S11" s="15">
        <v>6.0000000000004494E-5</v>
      </c>
      <c r="T11" s="15">
        <v>-3.9999999999984492E-5</v>
      </c>
      <c r="U11" s="15">
        <v>2.9999999999974492E-5</v>
      </c>
      <c r="X11" s="15">
        <f t="shared" si="7"/>
        <v>2.0000000000020002E-5</v>
      </c>
      <c r="Y11" s="15">
        <f t="shared" si="0"/>
        <v>6.0000000000004494E-5</v>
      </c>
      <c r="Z11" s="15">
        <f t="shared" si="0"/>
        <v>6.0000000000004494E-5</v>
      </c>
      <c r="AA11" s="15">
        <f t="shared" si="0"/>
        <v>3.9999999999984492E-5</v>
      </c>
      <c r="AB11" s="15">
        <f t="shared" si="0"/>
        <v>2.9999999999974492E-5</v>
      </c>
    </row>
    <row r="12" spans="1:28" x14ac:dyDescent="0.2">
      <c r="A12" s="17" t="s">
        <v>18</v>
      </c>
      <c r="B12" s="15">
        <v>0.33312000000000003</v>
      </c>
      <c r="C12" s="15">
        <v>0.33307999999999999</v>
      </c>
      <c r="D12" s="15">
        <f t="shared" si="1"/>
        <v>4.0000000000040004E-5</v>
      </c>
      <c r="E12" s="15">
        <v>0.33305000000000001</v>
      </c>
      <c r="F12" s="15">
        <f t="shared" si="2"/>
        <v>2.9999999999974492E-5</v>
      </c>
      <c r="G12" s="15">
        <v>0.33307999999999999</v>
      </c>
      <c r="H12" s="15">
        <f t="shared" si="3"/>
        <v>-2.9999999999974492E-5</v>
      </c>
      <c r="I12" s="15">
        <v>0.33312999999999998</v>
      </c>
      <c r="J12" s="15">
        <f t="shared" si="4"/>
        <v>-4.9999999999994493E-5</v>
      </c>
      <c r="K12" s="15">
        <v>0.33310000000000001</v>
      </c>
      <c r="L12" s="15">
        <f t="shared" si="5"/>
        <v>2.9999999999974492E-5</v>
      </c>
      <c r="M12" s="15">
        <v>0.33344000000000001</v>
      </c>
      <c r="N12" s="15">
        <f t="shared" si="6"/>
        <v>-3.4000000000000696E-4</v>
      </c>
      <c r="Q12" s="15">
        <v>4.0000000000040004E-5</v>
      </c>
      <c r="R12" s="15">
        <v>2.9999999999974492E-5</v>
      </c>
      <c r="S12" s="15">
        <v>-2.9999999999974492E-5</v>
      </c>
      <c r="T12" s="15">
        <v>-4.9999999999994493E-5</v>
      </c>
      <c r="U12" s="15">
        <v>2.9999999999974492E-5</v>
      </c>
      <c r="X12" s="15">
        <f t="shared" si="7"/>
        <v>4.0000000000040004E-5</v>
      </c>
      <c r="Y12" s="15">
        <f t="shared" si="0"/>
        <v>2.9999999999974492E-5</v>
      </c>
      <c r="Z12" s="15">
        <f t="shared" si="0"/>
        <v>2.9999999999974492E-5</v>
      </c>
      <c r="AA12" s="15">
        <f t="shared" si="0"/>
        <v>4.9999999999994493E-5</v>
      </c>
      <c r="AB12" s="15">
        <f t="shared" si="0"/>
        <v>2.9999999999974492E-5</v>
      </c>
    </row>
    <row r="13" spans="1:28" x14ac:dyDescent="0.2">
      <c r="A13" s="17" t="s">
        <v>19</v>
      </c>
      <c r="B13" s="15">
        <v>0.26386999999999999</v>
      </c>
      <c r="C13" s="15">
        <v>0.26379999999999998</v>
      </c>
      <c r="D13" s="15">
        <f t="shared" si="1"/>
        <v>7.0000000000014495E-5</v>
      </c>
      <c r="E13" s="15">
        <v>0.26384000000000002</v>
      </c>
      <c r="F13" s="15">
        <f t="shared" si="2"/>
        <v>-4.0000000000040004E-5</v>
      </c>
      <c r="G13" s="15">
        <v>0.26384000000000002</v>
      </c>
      <c r="H13" s="15">
        <f t="shared" si="3"/>
        <v>0</v>
      </c>
      <c r="I13" s="15">
        <v>0.26382</v>
      </c>
      <c r="J13" s="15">
        <f t="shared" si="4"/>
        <v>2.0000000000020002E-5</v>
      </c>
      <c r="K13" s="15">
        <v>0.26385999999999998</v>
      </c>
      <c r="L13" s="15">
        <f t="shared" si="5"/>
        <v>-3.9999999999984492E-5</v>
      </c>
      <c r="M13" s="15">
        <v>0.26380999999999999</v>
      </c>
      <c r="N13" s="15">
        <f t="shared" si="6"/>
        <v>4.9999999999994493E-5</v>
      </c>
      <c r="Q13" s="15">
        <v>7.0000000000014495E-5</v>
      </c>
      <c r="R13" s="15">
        <v>-4.0000000000040004E-5</v>
      </c>
      <c r="S13" s="15">
        <v>0</v>
      </c>
      <c r="T13" s="15">
        <v>2.0000000000020002E-5</v>
      </c>
      <c r="U13" s="15">
        <v>-3.9999999999984492E-5</v>
      </c>
      <c r="X13" s="15">
        <f t="shared" si="7"/>
        <v>7.0000000000014495E-5</v>
      </c>
      <c r="Y13" s="15">
        <f t="shared" si="0"/>
        <v>4.0000000000040004E-5</v>
      </c>
      <c r="Z13" s="15">
        <f t="shared" si="0"/>
        <v>0</v>
      </c>
      <c r="AA13" s="15">
        <f t="shared" si="0"/>
        <v>2.0000000000020002E-5</v>
      </c>
      <c r="AB13" s="15">
        <f t="shared" si="0"/>
        <v>3.9999999999984492E-5</v>
      </c>
    </row>
    <row r="14" spans="1:28" x14ac:dyDescent="0.2">
      <c r="A14" s="17" t="s">
        <v>20</v>
      </c>
      <c r="B14" s="15">
        <v>0.12570000000000001</v>
      </c>
      <c r="C14" s="15">
        <v>0.12569</v>
      </c>
      <c r="D14" s="15">
        <f t="shared" si="1"/>
        <v>1.0000000000010001E-5</v>
      </c>
      <c r="E14" s="15">
        <v>0.1255</v>
      </c>
      <c r="F14" s="15">
        <f t="shared" si="2"/>
        <v>1.8999999999999573E-4</v>
      </c>
      <c r="G14" s="15">
        <v>0.12543000000000001</v>
      </c>
      <c r="H14" s="15">
        <f t="shared" si="3"/>
        <v>6.9999999999986739E-5</v>
      </c>
      <c r="I14" s="15">
        <v>0.12545999999999999</v>
      </c>
      <c r="J14" s="15">
        <f t="shared" si="4"/>
        <v>-2.9999999999974492E-5</v>
      </c>
      <c r="K14" s="15">
        <v>0.12534999999999999</v>
      </c>
      <c r="L14" s="15">
        <f t="shared" si="5"/>
        <v>1.0999999999999899E-4</v>
      </c>
      <c r="M14" s="15">
        <v>0.12529999999999999</v>
      </c>
      <c r="N14" s="15">
        <f t="shared" si="6"/>
        <v>4.9999999999994493E-5</v>
      </c>
      <c r="Q14" s="15">
        <v>1.0000000000010001E-5</v>
      </c>
      <c r="R14" s="15">
        <v>1.8999999999999573E-4</v>
      </c>
      <c r="S14" s="15">
        <v>6.9999999999986739E-5</v>
      </c>
      <c r="T14" s="15">
        <v>-2.9999999999974492E-5</v>
      </c>
      <c r="U14" s="15">
        <v>1.0999999999999899E-4</v>
      </c>
      <c r="X14" s="15">
        <f t="shared" si="7"/>
        <v>1.0000000000010001E-5</v>
      </c>
      <c r="Y14" s="15">
        <f t="shared" si="0"/>
        <v>1.8999999999999573E-4</v>
      </c>
      <c r="Z14" s="15">
        <f t="shared" si="0"/>
        <v>6.9999999999986739E-5</v>
      </c>
      <c r="AA14" s="15">
        <f t="shared" si="0"/>
        <v>2.9999999999974492E-5</v>
      </c>
      <c r="AB14" s="15">
        <f t="shared" si="0"/>
        <v>1.0999999999999899E-4</v>
      </c>
    </row>
    <row r="15" spans="1:28" x14ac:dyDescent="0.2">
      <c r="A15" s="17" t="s">
        <v>21</v>
      </c>
      <c r="B15" s="15">
        <v>0.12983</v>
      </c>
      <c r="C15" s="15">
        <v>0.12948000000000001</v>
      </c>
      <c r="D15" s="15">
        <f t="shared" si="1"/>
        <v>3.4999999999998921E-4</v>
      </c>
      <c r="E15" s="15">
        <v>0.12969</v>
      </c>
      <c r="F15" s="15">
        <f t="shared" si="2"/>
        <v>-2.0999999999998797E-4</v>
      </c>
      <c r="G15" s="15">
        <v>0.12964999999999999</v>
      </c>
      <c r="H15" s="15">
        <f t="shared" si="3"/>
        <v>4.0000000000012248E-5</v>
      </c>
      <c r="I15" s="15">
        <v>0.12969</v>
      </c>
      <c r="J15" s="15">
        <f t="shared" si="4"/>
        <v>-4.0000000000012248E-5</v>
      </c>
      <c r="K15" s="15">
        <v>0.12975999999999999</v>
      </c>
      <c r="L15" s="15">
        <f t="shared" si="5"/>
        <v>-6.9999999999986739E-5</v>
      </c>
      <c r="M15" s="15">
        <v>0.12978000000000001</v>
      </c>
      <c r="N15" s="15">
        <f t="shared" si="6"/>
        <v>-2.0000000000020002E-5</v>
      </c>
      <c r="Q15" s="15">
        <v>3.4999999999998921E-4</v>
      </c>
      <c r="R15" s="15">
        <v>-2.0999999999998797E-4</v>
      </c>
      <c r="S15" s="15">
        <v>4.0000000000012248E-5</v>
      </c>
      <c r="T15" s="15">
        <v>-4.0000000000012248E-5</v>
      </c>
      <c r="U15" s="15">
        <v>-6.9999999999986739E-5</v>
      </c>
      <c r="X15" s="15">
        <f t="shared" si="7"/>
        <v>3.4999999999998921E-4</v>
      </c>
      <c r="Y15" s="15">
        <f t="shared" si="0"/>
        <v>2.0999999999998797E-4</v>
      </c>
      <c r="Z15" s="15">
        <f t="shared" si="0"/>
        <v>4.0000000000012248E-5</v>
      </c>
      <c r="AA15" s="15">
        <f t="shared" si="0"/>
        <v>4.0000000000012248E-5</v>
      </c>
      <c r="AB15" s="15">
        <f t="shared" si="0"/>
        <v>6.9999999999986739E-5</v>
      </c>
    </row>
    <row r="16" spans="1:28" x14ac:dyDescent="0.2">
      <c r="A16" s="17" t="s">
        <v>22</v>
      </c>
      <c r="B16" s="15">
        <v>0.22864999999999999</v>
      </c>
      <c r="C16" s="15">
        <v>0.22897999999999999</v>
      </c>
      <c r="D16" s="15">
        <f t="shared" si="1"/>
        <v>-3.2999999999999696E-4</v>
      </c>
      <c r="E16" s="15">
        <v>0.22911999999999999</v>
      </c>
      <c r="F16" s="15">
        <f t="shared" si="2"/>
        <v>-1.4000000000000123E-4</v>
      </c>
      <c r="G16" s="15">
        <v>0.22900000000000001</v>
      </c>
      <c r="H16" s="15">
        <f t="shared" si="3"/>
        <v>1.1999999999998123E-4</v>
      </c>
      <c r="I16" s="15">
        <v>0.22903000000000001</v>
      </c>
      <c r="J16" s="15">
        <f t="shared" si="4"/>
        <v>-3.0000000000002247E-5</v>
      </c>
      <c r="K16" s="15">
        <v>0.22897000000000001</v>
      </c>
      <c r="L16" s="15">
        <f t="shared" si="5"/>
        <v>6.0000000000004494E-5</v>
      </c>
      <c r="M16" s="15">
        <v>0.22889000000000001</v>
      </c>
      <c r="N16" s="15">
        <f t="shared" si="6"/>
        <v>7.999999999999674E-5</v>
      </c>
      <c r="Q16" s="15">
        <v>-3.2999999999999696E-4</v>
      </c>
      <c r="R16" s="15">
        <v>-1.4000000000000123E-4</v>
      </c>
      <c r="S16" s="15">
        <v>1.1999999999998123E-4</v>
      </c>
      <c r="T16" s="15">
        <v>-3.0000000000002247E-5</v>
      </c>
      <c r="U16" s="15">
        <v>6.0000000000004494E-5</v>
      </c>
      <c r="X16" s="15">
        <f t="shared" si="7"/>
        <v>3.2999999999999696E-4</v>
      </c>
      <c r="Y16" s="15">
        <f t="shared" si="0"/>
        <v>1.4000000000000123E-4</v>
      </c>
      <c r="Z16" s="15">
        <f t="shared" si="0"/>
        <v>1.1999999999998123E-4</v>
      </c>
      <c r="AA16" s="15">
        <f t="shared" si="0"/>
        <v>3.0000000000002247E-5</v>
      </c>
      <c r="AB16" s="15">
        <f t="shared" si="0"/>
        <v>6.0000000000004494E-5</v>
      </c>
    </row>
    <row r="17" spans="1:28" x14ac:dyDescent="0.2">
      <c r="A17" s="17" t="s">
        <v>23</v>
      </c>
      <c r="B17" s="15">
        <v>0.18235000000000001</v>
      </c>
      <c r="C17" s="15">
        <v>0.18224000000000001</v>
      </c>
      <c r="D17" s="15">
        <f t="shared" si="1"/>
        <v>1.0999999999999899E-4</v>
      </c>
      <c r="E17" s="15">
        <v>0.18215000000000001</v>
      </c>
      <c r="F17" s="15">
        <f t="shared" si="2"/>
        <v>9.0000000000006741E-5</v>
      </c>
      <c r="G17" s="15">
        <v>0.18223</v>
      </c>
      <c r="H17" s="15">
        <f t="shared" si="3"/>
        <v>-7.999999999999674E-5</v>
      </c>
      <c r="I17" s="15">
        <v>0.1822</v>
      </c>
      <c r="J17" s="15">
        <f t="shared" si="4"/>
        <v>3.0000000000002247E-5</v>
      </c>
      <c r="K17" s="15">
        <v>0.18235000000000001</v>
      </c>
      <c r="L17" s="15">
        <f t="shared" si="5"/>
        <v>-1.5000000000001124E-4</v>
      </c>
      <c r="M17" s="15">
        <v>0.18229000000000001</v>
      </c>
      <c r="N17" s="15">
        <f t="shared" si="6"/>
        <v>6.0000000000004494E-5</v>
      </c>
      <c r="Q17" s="15">
        <v>1.0999999999999899E-4</v>
      </c>
      <c r="R17" s="15">
        <v>9.0000000000006741E-5</v>
      </c>
      <c r="S17" s="15">
        <v>-7.999999999999674E-5</v>
      </c>
      <c r="T17" s="15">
        <v>3.0000000000002247E-5</v>
      </c>
      <c r="U17" s="15">
        <v>-1.5000000000001124E-4</v>
      </c>
      <c r="X17" s="15">
        <f t="shared" si="7"/>
        <v>1.0999999999999899E-4</v>
      </c>
      <c r="Y17" s="15">
        <f t="shared" si="0"/>
        <v>9.0000000000006741E-5</v>
      </c>
      <c r="Z17" s="15">
        <f t="shared" si="0"/>
        <v>7.999999999999674E-5</v>
      </c>
      <c r="AA17" s="15">
        <f t="shared" si="0"/>
        <v>3.0000000000002247E-5</v>
      </c>
      <c r="AB17" s="15">
        <f t="shared" si="0"/>
        <v>1.5000000000001124E-4</v>
      </c>
    </row>
    <row r="18" spans="1:28" x14ac:dyDescent="0.2">
      <c r="A18" s="17" t="s">
        <v>24</v>
      </c>
      <c r="B18" s="15">
        <v>0.15192</v>
      </c>
      <c r="C18" s="15">
        <v>0.15196999999999999</v>
      </c>
      <c r="D18" s="15">
        <f t="shared" si="1"/>
        <v>-4.9999999999994493E-5</v>
      </c>
      <c r="E18" s="15">
        <v>0.15207000000000001</v>
      </c>
      <c r="F18" s="15">
        <f t="shared" si="2"/>
        <v>-1.0000000000001674E-4</v>
      </c>
      <c r="G18" s="15">
        <v>0.15193000000000001</v>
      </c>
      <c r="H18" s="15">
        <f t="shared" si="3"/>
        <v>1.4000000000000123E-4</v>
      </c>
      <c r="I18" s="15">
        <v>0.15204000000000001</v>
      </c>
      <c r="J18" s="15">
        <f t="shared" si="4"/>
        <v>-1.0999999999999899E-4</v>
      </c>
      <c r="K18" s="15">
        <v>0.15204999999999999</v>
      </c>
      <c r="L18" s="15">
        <f t="shared" si="5"/>
        <v>-9.9999999999822453E-6</v>
      </c>
      <c r="M18" s="15">
        <v>0.15198999999999999</v>
      </c>
      <c r="N18" s="15">
        <f t="shared" si="6"/>
        <v>6.0000000000004494E-5</v>
      </c>
      <c r="Q18" s="15">
        <v>-4.9999999999994493E-5</v>
      </c>
      <c r="R18" s="15">
        <v>-1.0000000000001674E-4</v>
      </c>
      <c r="S18" s="15">
        <v>1.4000000000000123E-4</v>
      </c>
      <c r="T18" s="15">
        <v>-1.0999999999999899E-4</v>
      </c>
      <c r="U18" s="15">
        <v>-9.9999999999822453E-6</v>
      </c>
      <c r="X18" s="15">
        <f t="shared" si="7"/>
        <v>4.9999999999994493E-5</v>
      </c>
      <c r="Y18" s="15">
        <f t="shared" si="0"/>
        <v>1.0000000000001674E-4</v>
      </c>
      <c r="Z18" s="15">
        <f t="shared" si="0"/>
        <v>1.4000000000000123E-4</v>
      </c>
      <c r="AA18" s="15">
        <f t="shared" si="0"/>
        <v>1.0999999999999899E-4</v>
      </c>
      <c r="AB18" s="15">
        <f t="shared" si="0"/>
        <v>9.9999999999822453E-6</v>
      </c>
    </row>
    <row r="19" spans="1:28" x14ac:dyDescent="0.2">
      <c r="A19" s="17" t="s">
        <v>25</v>
      </c>
      <c r="B19" s="15">
        <v>0.15337000000000001</v>
      </c>
      <c r="C19" s="15">
        <v>0.15231</v>
      </c>
      <c r="D19" s="15">
        <f t="shared" si="1"/>
        <v>1.0600000000000054E-3</v>
      </c>
      <c r="E19" s="15">
        <v>0.15239</v>
      </c>
      <c r="F19" s="15">
        <f t="shared" si="2"/>
        <v>-7.999999999999674E-5</v>
      </c>
      <c r="G19" s="15">
        <v>0.15229999999999999</v>
      </c>
      <c r="H19" s="15">
        <f t="shared" si="3"/>
        <v>9.0000000000006741E-5</v>
      </c>
      <c r="I19" s="15">
        <v>0.15236</v>
      </c>
      <c r="J19" s="15">
        <f t="shared" si="4"/>
        <v>-6.0000000000004494E-5</v>
      </c>
      <c r="K19" s="15">
        <v>0.15237999999999999</v>
      </c>
      <c r="L19" s="15">
        <f t="shared" si="5"/>
        <v>-1.9999999999992246E-5</v>
      </c>
      <c r="M19" s="15">
        <v>0.15229999999999999</v>
      </c>
      <c r="N19" s="15">
        <f t="shared" si="6"/>
        <v>7.999999999999674E-5</v>
      </c>
      <c r="Q19" s="15">
        <v>1.0600000000000054E-3</v>
      </c>
      <c r="R19" s="15">
        <v>-7.999999999999674E-5</v>
      </c>
      <c r="S19" s="15">
        <v>9.0000000000006741E-5</v>
      </c>
      <c r="T19" s="15">
        <v>-6.0000000000004494E-5</v>
      </c>
      <c r="U19" s="15">
        <v>-1.9999999999992246E-5</v>
      </c>
      <c r="X19" s="15">
        <f t="shared" si="7"/>
        <v>1.0600000000000054E-3</v>
      </c>
      <c r="Y19" s="15">
        <f t="shared" ref="Y19:Y22" si="8">ABS(R19)</f>
        <v>7.999999999999674E-5</v>
      </c>
      <c r="Z19" s="15">
        <f t="shared" ref="Z19:Z22" si="9">ABS(S19)</f>
        <v>9.0000000000006741E-5</v>
      </c>
      <c r="AA19" s="15">
        <f t="shared" ref="AA19:AA22" si="10">ABS(T19)</f>
        <v>6.0000000000004494E-5</v>
      </c>
      <c r="AB19" s="15">
        <f t="shared" ref="AB19:AB22" si="11">ABS(U19)</f>
        <v>1.9999999999992246E-5</v>
      </c>
    </row>
    <row r="20" spans="1:28" x14ac:dyDescent="0.2">
      <c r="A20" s="17" t="s">
        <v>26</v>
      </c>
      <c r="B20" s="15">
        <v>0.15719</v>
      </c>
      <c r="C20" s="15">
        <v>0.15809000000000001</v>
      </c>
      <c r="D20" s="15">
        <f t="shared" si="1"/>
        <v>-9.000000000000119E-4</v>
      </c>
      <c r="E20" s="15">
        <v>0.15812000000000001</v>
      </c>
      <c r="F20" s="15">
        <f t="shared" si="2"/>
        <v>-3.0000000000002247E-5</v>
      </c>
      <c r="G20" s="15">
        <v>0.15811</v>
      </c>
      <c r="H20" s="15">
        <f t="shared" si="3"/>
        <v>1.0000000000010001E-5</v>
      </c>
      <c r="I20" s="15">
        <v>0.15806999999999999</v>
      </c>
      <c r="J20" s="15">
        <f t="shared" si="4"/>
        <v>4.0000000000012248E-5</v>
      </c>
      <c r="K20" s="15">
        <v>0.15817000000000001</v>
      </c>
      <c r="L20" s="15">
        <f t="shared" si="5"/>
        <v>-1.0000000000001674E-4</v>
      </c>
      <c r="M20" s="15">
        <v>0.15806999999999999</v>
      </c>
      <c r="N20" s="15">
        <f t="shared" si="6"/>
        <v>1.0000000000001674E-4</v>
      </c>
      <c r="Q20" s="15">
        <v>-9.000000000000119E-4</v>
      </c>
      <c r="R20" s="15">
        <v>-3.0000000000002247E-5</v>
      </c>
      <c r="S20" s="15">
        <v>1.0000000000010001E-5</v>
      </c>
      <c r="T20" s="15">
        <v>4.0000000000012248E-5</v>
      </c>
      <c r="U20" s="15">
        <v>-1.0000000000001674E-4</v>
      </c>
      <c r="X20" s="15">
        <f t="shared" si="7"/>
        <v>9.000000000000119E-4</v>
      </c>
      <c r="Y20" s="15">
        <f t="shared" si="8"/>
        <v>3.0000000000002247E-5</v>
      </c>
      <c r="Z20" s="15">
        <f t="shared" si="9"/>
        <v>1.0000000000010001E-5</v>
      </c>
      <c r="AA20" s="15">
        <f t="shared" si="10"/>
        <v>4.0000000000012248E-5</v>
      </c>
      <c r="AB20" s="15">
        <f t="shared" si="11"/>
        <v>1.0000000000001674E-4</v>
      </c>
    </row>
    <row r="21" spans="1:28" x14ac:dyDescent="0.2">
      <c r="A21" s="17" t="s">
        <v>27</v>
      </c>
      <c r="B21" s="15">
        <v>0.14868000000000001</v>
      </c>
      <c r="C21" s="15">
        <v>0.14868000000000001</v>
      </c>
      <c r="D21" s="15">
        <f t="shared" si="1"/>
        <v>0</v>
      </c>
      <c r="E21" s="15">
        <v>0.14868000000000001</v>
      </c>
      <c r="F21" s="15">
        <f t="shared" si="2"/>
        <v>0</v>
      </c>
      <c r="G21" s="15">
        <v>0.14863000000000001</v>
      </c>
      <c r="H21" s="15">
        <f t="shared" si="3"/>
        <v>4.9999999999994493E-5</v>
      </c>
      <c r="I21" s="15">
        <v>0.14879999999999999</v>
      </c>
      <c r="J21" s="15">
        <f t="shared" si="4"/>
        <v>-1.6999999999997573E-4</v>
      </c>
      <c r="K21" s="15">
        <v>0.14868999999999999</v>
      </c>
      <c r="L21" s="15">
        <f t="shared" si="5"/>
        <v>1.0999999999999899E-4</v>
      </c>
      <c r="M21" s="15">
        <v>0.14863000000000001</v>
      </c>
      <c r="N21" s="15">
        <f t="shared" si="6"/>
        <v>5.9999999999976739E-5</v>
      </c>
      <c r="Q21" s="15">
        <v>0</v>
      </c>
      <c r="R21" s="15">
        <v>0</v>
      </c>
      <c r="S21" s="15">
        <v>4.9999999999994493E-5</v>
      </c>
      <c r="T21" s="15">
        <v>-1.6999999999997573E-4</v>
      </c>
      <c r="U21" s="15">
        <v>1.0999999999999899E-4</v>
      </c>
      <c r="X21" s="15">
        <f t="shared" si="7"/>
        <v>0</v>
      </c>
      <c r="Y21" s="15">
        <f t="shared" si="8"/>
        <v>0</v>
      </c>
      <c r="Z21" s="15">
        <f t="shared" si="9"/>
        <v>4.9999999999994493E-5</v>
      </c>
      <c r="AA21" s="15">
        <f t="shared" si="10"/>
        <v>1.6999999999997573E-4</v>
      </c>
      <c r="AB21" s="15">
        <f t="shared" si="11"/>
        <v>1.0999999999999899E-4</v>
      </c>
    </row>
    <row r="22" spans="1:28" x14ac:dyDescent="0.2">
      <c r="A22" s="17" t="s">
        <v>28</v>
      </c>
      <c r="B22" s="15">
        <v>0.2097</v>
      </c>
      <c r="C22" s="15">
        <v>0.20963000000000001</v>
      </c>
      <c r="D22" s="15">
        <f t="shared" si="1"/>
        <v>6.9999999999986739E-5</v>
      </c>
      <c r="E22" s="15">
        <v>0.20968000000000001</v>
      </c>
      <c r="F22" s="15">
        <f t="shared" si="2"/>
        <v>-4.9999999999994493E-5</v>
      </c>
      <c r="G22" s="15">
        <v>0.20957999999999999</v>
      </c>
      <c r="H22" s="15">
        <f t="shared" si="3"/>
        <v>1.0000000000001674E-4</v>
      </c>
      <c r="I22" s="15">
        <v>0.20967</v>
      </c>
      <c r="J22" s="15">
        <f t="shared" si="4"/>
        <v>-9.0000000000006741E-5</v>
      </c>
      <c r="K22" s="15">
        <v>0.20967</v>
      </c>
      <c r="L22" s="15">
        <f t="shared" si="5"/>
        <v>0</v>
      </c>
      <c r="M22" s="15">
        <v>0.20954999999999999</v>
      </c>
      <c r="N22" s="15">
        <f t="shared" si="6"/>
        <v>1.2000000000000899E-4</v>
      </c>
      <c r="Q22" s="15">
        <v>6.9999999999986739E-5</v>
      </c>
      <c r="R22" s="15">
        <v>-4.9999999999994493E-5</v>
      </c>
      <c r="S22" s="15">
        <v>1.0000000000001674E-4</v>
      </c>
      <c r="T22" s="15">
        <v>-9.0000000000006741E-5</v>
      </c>
      <c r="U22" s="15">
        <v>0</v>
      </c>
      <c r="X22" s="15">
        <f t="shared" si="7"/>
        <v>6.9999999999986739E-5</v>
      </c>
      <c r="Y22" s="15">
        <f t="shared" si="8"/>
        <v>4.9999999999994493E-5</v>
      </c>
      <c r="Z22" s="15">
        <f t="shared" si="9"/>
        <v>1.0000000000001674E-4</v>
      </c>
      <c r="AA22" s="15">
        <f t="shared" si="10"/>
        <v>9.0000000000006741E-5</v>
      </c>
      <c r="AB22" s="15">
        <f t="shared" si="11"/>
        <v>0</v>
      </c>
    </row>
    <row r="23" spans="1:28" s="12" customFormat="1" ht="15.75" x14ac:dyDescent="0.25">
      <c r="B23" s="23">
        <f t="shared" ref="B23:C23" si="12">SUM(B3:B22)</f>
        <v>3.8037500000000009</v>
      </c>
      <c r="C23" s="23">
        <f t="shared" si="12"/>
        <v>3.8031700000000002</v>
      </c>
      <c r="D23" s="23">
        <f>SUM(D3:D22)</f>
        <v>5.8000000000008045E-4</v>
      </c>
      <c r="E23" s="23">
        <f t="shared" ref="E23:L23" si="13">SUM(E3:E22)</f>
        <v>3.8037800000000006</v>
      </c>
      <c r="F23" s="23">
        <f t="shared" si="13"/>
        <v>-6.100000000000827E-4</v>
      </c>
      <c r="G23" s="23">
        <f t="shared" si="13"/>
        <v>3.80314</v>
      </c>
      <c r="H23" s="23">
        <f t="shared" si="13"/>
        <v>6.4000000000005719E-4</v>
      </c>
      <c r="I23" s="23">
        <f t="shared" si="13"/>
        <v>3.8036999999999996</v>
      </c>
      <c r="J23" s="23">
        <f t="shared" si="13"/>
        <v>-5.5999999999993555E-4</v>
      </c>
      <c r="K23" s="23">
        <f t="shared" si="13"/>
        <v>3.8038900000000009</v>
      </c>
      <c r="L23" s="23">
        <f t="shared" si="13"/>
        <v>-1.9000000000003736E-4</v>
      </c>
      <c r="M23" s="23">
        <f t="shared" ref="M23" si="14">SUM(M3:M22)</f>
        <v>3.8029499999999996</v>
      </c>
      <c r="N23" s="23">
        <f t="shared" ref="N23" si="15">SUM(N3:N22)</f>
        <v>9.3999999999995476E-4</v>
      </c>
      <c r="Q23" s="23">
        <v>5.8000000000008045E-4</v>
      </c>
      <c r="R23" s="23">
        <v>-6.100000000000827E-4</v>
      </c>
      <c r="S23" s="23">
        <v>6.4000000000005719E-4</v>
      </c>
      <c r="T23" s="23">
        <v>-5.5999999999993555E-4</v>
      </c>
      <c r="U23" s="23">
        <v>-1.9000000000003736E-4</v>
      </c>
      <c r="X23" s="23">
        <f>AVERAGE(X3:X22)</f>
        <v>1.8800000000000484E-4</v>
      </c>
      <c r="Y23" s="23">
        <f t="shared" ref="Y23:AB23" si="16">AVERAGE(Y3:Y22)</f>
        <v>6.95000000000015E-5</v>
      </c>
      <c r="Z23" s="23">
        <f t="shared" si="16"/>
        <v>6.8999999999998235E-5</v>
      </c>
      <c r="AA23" s="23">
        <f t="shared" si="16"/>
        <v>5.1999999999998574E-5</v>
      </c>
      <c r="AB23" s="23">
        <f t="shared" si="16"/>
        <v>6.6500000000000586E-5</v>
      </c>
    </row>
    <row r="24" spans="1:28" x14ac:dyDescent="0.2">
      <c r="C24" s="15"/>
      <c r="E24" s="15"/>
      <c r="G24" s="15"/>
      <c r="M24" s="15"/>
    </row>
    <row r="25" spans="1:28" x14ac:dyDescent="0.2">
      <c r="B25" t="s">
        <v>141</v>
      </c>
      <c r="C25" t="s">
        <v>141</v>
      </c>
      <c r="D25" t="s">
        <v>141</v>
      </c>
      <c r="E25" t="s">
        <v>141</v>
      </c>
      <c r="F25" t="s">
        <v>141</v>
      </c>
      <c r="G25" t="s">
        <v>141</v>
      </c>
      <c r="M25" s="15"/>
      <c r="Q25" s="15">
        <f>_xlfn.STDEV.P(Q3:Q22)</f>
        <v>3.3819964518018203E-4</v>
      </c>
      <c r="R25" s="15">
        <f>_xlfn.STDEV.P(R3:R22)</f>
        <v>8.2733004296953834E-5</v>
      </c>
      <c r="S25" s="15">
        <f t="shared" ref="S25:U25" si="17">_xlfn.STDEV.P(S3:S22)</f>
        <v>8.5767126569562428E-5</v>
      </c>
      <c r="T25" s="15">
        <f t="shared" si="17"/>
        <v>5.6709787515029285E-5</v>
      </c>
      <c r="U25" s="15">
        <f t="shared" si="17"/>
        <v>8.9915237863226398E-5</v>
      </c>
      <c r="X25" s="15">
        <f>_xlfn.STDEV.P(X3:X22)</f>
        <v>2.8262342436535484E-4</v>
      </c>
      <c r="Y25" s="15">
        <f t="shared" ref="Y25:AB25" si="18">_xlfn.STDEV.P(Y3:Y22)</f>
        <v>5.4265550766575904E-5</v>
      </c>
      <c r="Z25" s="15">
        <f t="shared" si="18"/>
        <v>6.0158124970778208E-5</v>
      </c>
      <c r="AA25" s="15">
        <f t="shared" si="18"/>
        <v>3.5999999999996376E-5</v>
      </c>
      <c r="AB25" s="15">
        <f t="shared" si="18"/>
        <v>6.1259693110564444E-5</v>
      </c>
    </row>
    <row r="26" spans="1:28" x14ac:dyDescent="0.2">
      <c r="C26" s="15"/>
      <c r="E26" s="15"/>
      <c r="G26" s="15"/>
      <c r="R26" s="30">
        <f>R25*1000000</f>
        <v>82.733004296953837</v>
      </c>
      <c r="S26" s="30">
        <f t="shared" ref="S26" si="19">S25*1000000</f>
        <v>85.767126569562421</v>
      </c>
      <c r="T26" s="30">
        <f t="shared" ref="T26" si="20">T25*1000000</f>
        <v>56.709787515029284</v>
      </c>
      <c r="U26" s="30">
        <f t="shared" ref="U26" si="21">U25*1000000</f>
        <v>89.915237863226395</v>
      </c>
      <c r="Y26" s="30">
        <f>Y25*1000000</f>
        <v>54.265550766575906</v>
      </c>
      <c r="Z26" s="30">
        <f t="shared" ref="Z26:AB26" si="22">Z25*1000000</f>
        <v>60.158124970778211</v>
      </c>
      <c r="AA26" s="30">
        <f t="shared" si="22"/>
        <v>35.999999999996376</v>
      </c>
      <c r="AB26" s="30">
        <f t="shared" si="22"/>
        <v>61.259693110564442</v>
      </c>
    </row>
    <row r="27" spans="1:28" x14ac:dyDescent="0.2">
      <c r="C27" s="15"/>
      <c r="D27" s="15"/>
      <c r="E27" s="15"/>
      <c r="F27" s="15"/>
      <c r="G27" s="15"/>
    </row>
    <row r="28" spans="1:28" x14ac:dyDescent="0.2">
      <c r="Y28" s="15">
        <f>_xlfn.STDEV.P(Y3:AB22)</f>
        <v>5.4354737604002597E-5</v>
      </c>
    </row>
    <row r="29" spans="1:28" x14ac:dyDescent="0.2">
      <c r="Y29">
        <f>Y28*1000000</f>
        <v>54.354737604002594</v>
      </c>
    </row>
  </sheetData>
  <pageMargins left="0.7" right="0.7" top="0.75" bottom="0.75" header="0.3" footer="0.3"/>
  <ignoredErrors>
    <ignoredError sqref="Q25 S25:U25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K26"/>
  <sheetViews>
    <sheetView topLeftCell="AA31" zoomScale="120" zoomScaleNormal="120" workbookViewId="0">
      <selection activeCell="AF73" sqref="AF73"/>
    </sheetView>
  </sheetViews>
  <sheetFormatPr defaultRowHeight="15" x14ac:dyDescent="0.2"/>
  <cols>
    <col min="12" max="12" width="9.88671875" bestFit="1" customWidth="1"/>
    <col min="14" max="14" width="10.6640625" customWidth="1"/>
    <col min="24" max="24" width="9.88671875" bestFit="1" customWidth="1"/>
    <col min="26" max="26" width="9.88671875" bestFit="1" customWidth="1"/>
  </cols>
  <sheetData>
    <row r="1" spans="1:63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>
        <v>43027</v>
      </c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63" x14ac:dyDescent="0.2">
      <c r="A2" s="13" t="s">
        <v>154</v>
      </c>
      <c r="B2" s="13" t="s">
        <v>144</v>
      </c>
      <c r="C2" s="13" t="s">
        <v>36</v>
      </c>
      <c r="D2" s="13" t="s">
        <v>143</v>
      </c>
      <c r="E2" s="13" t="s">
        <v>36</v>
      </c>
      <c r="F2" s="13" t="s">
        <v>37</v>
      </c>
      <c r="G2" s="13" t="s">
        <v>36</v>
      </c>
      <c r="H2" s="13" t="s">
        <v>52</v>
      </c>
      <c r="I2" s="13" t="s">
        <v>36</v>
      </c>
      <c r="J2" s="13" t="s">
        <v>88</v>
      </c>
      <c r="K2" s="13" t="s">
        <v>36</v>
      </c>
      <c r="L2" s="13" t="s">
        <v>87</v>
      </c>
      <c r="M2" s="13" t="s">
        <v>36</v>
      </c>
      <c r="N2" s="13" t="s">
        <v>84</v>
      </c>
      <c r="O2" s="13" t="s">
        <v>36</v>
      </c>
      <c r="P2" s="13" t="s">
        <v>112</v>
      </c>
      <c r="Q2" s="13"/>
      <c r="R2" s="1" t="s">
        <v>8</v>
      </c>
      <c r="S2" s="1"/>
      <c r="T2" s="1" t="s">
        <v>30</v>
      </c>
      <c r="U2" s="1"/>
      <c r="V2" s="1" t="s">
        <v>32</v>
      </c>
      <c r="W2" s="1"/>
      <c r="X2" s="13" t="s">
        <v>155</v>
      </c>
      <c r="Y2" s="1" t="s">
        <v>156</v>
      </c>
      <c r="Z2" s="1" t="s">
        <v>157</v>
      </c>
      <c r="AA2" s="1"/>
      <c r="AB2" s="13" t="s">
        <v>155</v>
      </c>
      <c r="AC2" s="1" t="s">
        <v>156</v>
      </c>
      <c r="AD2" s="1" t="s">
        <v>157</v>
      </c>
      <c r="AE2" s="1" t="s">
        <v>159</v>
      </c>
      <c r="AF2" s="1" t="s">
        <v>160</v>
      </c>
      <c r="AG2" s="1" t="s">
        <v>176</v>
      </c>
      <c r="AH2" s="1" t="s">
        <v>161</v>
      </c>
      <c r="AI2" s="1" t="s">
        <v>175</v>
      </c>
      <c r="AJ2" s="1" t="s">
        <v>162</v>
      </c>
      <c r="AK2" s="1" t="s">
        <v>163</v>
      </c>
      <c r="AL2" s="1" t="s">
        <v>164</v>
      </c>
      <c r="AM2" s="1" t="s">
        <v>172</v>
      </c>
      <c r="AN2" s="1" t="s">
        <v>173</v>
      </c>
      <c r="AO2" s="1" t="s">
        <v>174</v>
      </c>
      <c r="AP2" s="1" t="s">
        <v>178</v>
      </c>
      <c r="AQ2" s="1" t="s">
        <v>179</v>
      </c>
      <c r="AR2" s="1" t="s">
        <v>180</v>
      </c>
      <c r="AS2" s="1" t="s">
        <v>181</v>
      </c>
      <c r="AT2" s="1" t="s">
        <v>182</v>
      </c>
      <c r="AU2" s="1" t="s">
        <v>183</v>
      </c>
      <c r="AV2" s="1" t="s">
        <v>184</v>
      </c>
      <c r="BE2" s="13" t="s">
        <v>44</v>
      </c>
      <c r="BF2" s="13" t="s">
        <v>36</v>
      </c>
      <c r="BG2" s="13" t="s">
        <v>42</v>
      </c>
      <c r="BH2" s="1" t="s">
        <v>36</v>
      </c>
      <c r="BJ2" t="s">
        <v>185</v>
      </c>
      <c r="BK2" t="s">
        <v>186</v>
      </c>
    </row>
    <row r="3" spans="1:63" x14ac:dyDescent="0.2">
      <c r="A3" s="13"/>
      <c r="B3" s="13"/>
      <c r="C3" s="13"/>
      <c r="D3" s="31"/>
      <c r="E3" s="13"/>
      <c r="F3" s="13"/>
      <c r="G3" s="13"/>
      <c r="H3" s="13"/>
      <c r="I3" s="13"/>
      <c r="J3" s="31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3"/>
      <c r="Y3" s="1"/>
      <c r="Z3" s="1"/>
      <c r="AA3" s="1"/>
      <c r="AB3" s="13"/>
      <c r="AC3" s="1"/>
      <c r="AD3" s="1"/>
      <c r="BE3" s="13"/>
      <c r="BF3" s="13"/>
      <c r="BG3" s="13"/>
      <c r="BH3" s="1"/>
    </row>
    <row r="4" spans="1:63" x14ac:dyDescent="0.2">
      <c r="A4" s="17" t="s">
        <v>9</v>
      </c>
      <c r="B4" s="1">
        <v>9.0910000000000005E-2</v>
      </c>
      <c r="C4" s="15">
        <f>B4</f>
        <v>9.0910000000000005E-2</v>
      </c>
      <c r="D4" s="1">
        <v>9.085E-2</v>
      </c>
      <c r="E4" s="15">
        <f>D4</f>
        <v>9.085E-2</v>
      </c>
      <c r="F4">
        <v>9.0889999999999999E-2</v>
      </c>
      <c r="G4" s="15">
        <f>F4</f>
        <v>9.0889999999999999E-2</v>
      </c>
      <c r="H4" s="15" t="s">
        <v>158</v>
      </c>
      <c r="I4" s="15" t="str">
        <f>H4</f>
        <v>.09083</v>
      </c>
      <c r="J4" s="31">
        <v>9.085E-2</v>
      </c>
      <c r="K4" s="15">
        <f>J4</f>
        <v>9.085E-2</v>
      </c>
      <c r="L4">
        <v>9.0819999999999998E-2</v>
      </c>
      <c r="M4" s="15">
        <f>L4</f>
        <v>9.0819999999999998E-2</v>
      </c>
      <c r="N4" s="15">
        <v>9.0819999999999998E-2</v>
      </c>
      <c r="O4" s="15">
        <f>N4</f>
        <v>9.0819999999999998E-2</v>
      </c>
      <c r="P4" s="15">
        <v>9.0880000000000002E-2</v>
      </c>
      <c r="Q4" s="15">
        <f>P4</f>
        <v>9.0880000000000002E-2</v>
      </c>
      <c r="R4" s="15">
        <v>9.0859999999999996E-2</v>
      </c>
      <c r="S4" s="15">
        <f>R4</f>
        <v>9.0859999999999996E-2</v>
      </c>
      <c r="T4" s="15">
        <v>9.0859999999999996E-2</v>
      </c>
      <c r="U4">
        <f>T4</f>
        <v>9.0859999999999996E-2</v>
      </c>
      <c r="V4" s="15">
        <v>9.0880000000000002E-2</v>
      </c>
      <c r="W4">
        <f>V4</f>
        <v>9.0880000000000002E-2</v>
      </c>
      <c r="X4" s="15">
        <f>K4-M4</f>
        <v>3.0000000000002247E-5</v>
      </c>
      <c r="Y4" s="15">
        <f>M4-O4</f>
        <v>0</v>
      </c>
      <c r="Z4" s="15">
        <f>K4-O4</f>
        <v>3.0000000000002247E-5</v>
      </c>
      <c r="AA4" s="15"/>
      <c r="AB4" s="15">
        <f>J4-L4</f>
        <v>3.0000000000002247E-5</v>
      </c>
      <c r="AC4" s="15">
        <f>L4-N4</f>
        <v>0</v>
      </c>
      <c r="AD4" s="15">
        <f>J4-N4</f>
        <v>3.0000000000002247E-5</v>
      </c>
      <c r="AE4" s="15">
        <f>D4-J4</f>
        <v>0</v>
      </c>
      <c r="AF4" s="15">
        <f t="shared" ref="AF4:AF23" si="0">D4-L4</f>
        <v>3.0000000000002247E-5</v>
      </c>
      <c r="AG4" s="15">
        <f>B4-H4</f>
        <v>8.0000000000010618E-5</v>
      </c>
      <c r="AH4" s="15">
        <f>D4-H4</f>
        <v>2.0000000000006124E-5</v>
      </c>
      <c r="AI4" s="15">
        <f>F4-H4</f>
        <v>6.0000000000004494E-5</v>
      </c>
      <c r="AJ4" s="15">
        <f>J4-H4</f>
        <v>2.0000000000006124E-5</v>
      </c>
      <c r="AK4" s="15">
        <f>L4-H4</f>
        <v>-9.9999999999961231E-6</v>
      </c>
      <c r="AL4" s="15">
        <f>N4-H4</f>
        <v>-9.9999999999961231E-6</v>
      </c>
      <c r="AM4" s="15">
        <f>B4-D4</f>
        <v>6.0000000000004494E-5</v>
      </c>
      <c r="AN4" s="15">
        <f>D4-F4</f>
        <v>-3.999999999999837E-5</v>
      </c>
      <c r="AO4" s="15">
        <f>B4-F4</f>
        <v>2.0000000000006124E-5</v>
      </c>
      <c r="AP4" s="15">
        <f>F4-R4</f>
        <v>3.0000000000002247E-5</v>
      </c>
      <c r="AQ4" s="15">
        <f>F4-T4</f>
        <v>3.0000000000002247E-5</v>
      </c>
      <c r="AR4" s="15">
        <f>F4-V4</f>
        <v>9.9999999999961231E-6</v>
      </c>
      <c r="AS4" s="15">
        <f>F4-P4</f>
        <v>9.9999999999961231E-6</v>
      </c>
      <c r="AT4" s="15">
        <f>H4-R4</f>
        <v>-3.0000000000002247E-5</v>
      </c>
      <c r="AU4" s="15">
        <f>H4-T4</f>
        <v>-3.0000000000002247E-5</v>
      </c>
      <c r="AV4" s="15">
        <f>H4-V4</f>
        <v>-5.0000000000008371E-5</v>
      </c>
      <c r="BE4" s="15">
        <v>9.0910000000000005E-2</v>
      </c>
      <c r="BF4" s="15">
        <f>BE4</f>
        <v>9.0910000000000005E-2</v>
      </c>
      <c r="BG4">
        <v>9.0630000000000002E-2</v>
      </c>
      <c r="BH4" s="15">
        <f>BG4</f>
        <v>9.0630000000000002E-2</v>
      </c>
      <c r="BJ4" s="15">
        <f t="shared" ref="BJ4:BJ23" si="1">F4-BE4</f>
        <v>-2.0000000000006124E-5</v>
      </c>
      <c r="BK4" s="15">
        <f>F4-BG4</f>
        <v>2.5999999999999635E-4</v>
      </c>
    </row>
    <row r="5" spans="1:63" x14ac:dyDescent="0.2">
      <c r="A5" s="17" t="s">
        <v>10</v>
      </c>
      <c r="B5" s="1">
        <v>0.16397999999999999</v>
      </c>
      <c r="C5" s="15">
        <f t="shared" ref="C5:C23" si="2">C4+B5</f>
        <v>0.25489000000000001</v>
      </c>
      <c r="D5" s="1">
        <v>0.16402</v>
      </c>
      <c r="E5" s="15">
        <f t="shared" ref="E5:E22" si="3">E4+D5</f>
        <v>0.25486999999999999</v>
      </c>
      <c r="F5" s="15">
        <v>0.16395999999999999</v>
      </c>
      <c r="G5" s="15">
        <f t="shared" ref="G5:G23" si="4">G4+F5</f>
        <v>0.25485000000000002</v>
      </c>
      <c r="H5" s="15">
        <v>0.16399</v>
      </c>
      <c r="I5" s="15">
        <f t="shared" ref="I5:M20" si="5">I4+H5</f>
        <v>0.25481999999999999</v>
      </c>
      <c r="J5" s="31">
        <v>0.16399</v>
      </c>
      <c r="K5" s="15">
        <f t="shared" si="5"/>
        <v>0.25484000000000001</v>
      </c>
      <c r="L5" s="15">
        <v>0.16400000000000001</v>
      </c>
      <c r="M5" s="15">
        <f t="shared" si="5"/>
        <v>0.25481999999999999</v>
      </c>
      <c r="N5" s="15">
        <v>0.16397999999999999</v>
      </c>
      <c r="O5" s="15">
        <f>O4+N5</f>
        <v>0.25479999999999997</v>
      </c>
      <c r="P5" s="15">
        <v>0.1641</v>
      </c>
      <c r="Q5" s="15">
        <f>Q4+P5</f>
        <v>0.25497999999999998</v>
      </c>
      <c r="R5" s="15">
        <v>0.16403999999999999</v>
      </c>
      <c r="S5" s="15">
        <f>S4+R5</f>
        <v>0.25490000000000002</v>
      </c>
      <c r="T5" s="15">
        <v>0.16403999999999999</v>
      </c>
      <c r="U5">
        <f>U4+T5</f>
        <v>0.25490000000000002</v>
      </c>
      <c r="V5" s="15">
        <v>0.16397999999999999</v>
      </c>
      <c r="W5">
        <f>W4+V5</f>
        <v>0.25485999999999998</v>
      </c>
      <c r="X5" s="15">
        <f t="shared" ref="X5:X23" si="6">K5-M5</f>
        <v>2.0000000000020002E-5</v>
      </c>
      <c r="Y5" s="15">
        <f t="shared" ref="Y5:Y23" si="7">M5-O5</f>
        <v>2.0000000000020002E-5</v>
      </c>
      <c r="Z5" s="15">
        <f t="shared" ref="Z5:Z23" si="8">K5-O5</f>
        <v>4.0000000000040004E-5</v>
      </c>
      <c r="AA5" s="15"/>
      <c r="AB5" s="15">
        <f t="shared" ref="AB5:AB23" si="9">J5-L5</f>
        <v>-1.0000000000010001E-5</v>
      </c>
      <c r="AC5" s="15">
        <f t="shared" ref="AC5:AC23" si="10">L5-N5</f>
        <v>2.0000000000020002E-5</v>
      </c>
      <c r="AD5" s="15">
        <f t="shared" ref="AD5:AD23" si="11">J5-N5</f>
        <v>1.0000000000010001E-5</v>
      </c>
      <c r="AE5" s="15">
        <f t="shared" ref="AE5:AE23" si="12">D5-J5</f>
        <v>3.0000000000002247E-5</v>
      </c>
      <c r="AF5" s="15">
        <f t="shared" si="0"/>
        <v>1.9999999999992246E-5</v>
      </c>
      <c r="AG5" s="15">
        <f t="shared" ref="AG5:AG23" si="13">B5-H5</f>
        <v>-1.0000000000010001E-5</v>
      </c>
      <c r="AH5" s="15">
        <f t="shared" ref="AH5:AH23" si="14">D5-H5</f>
        <v>3.0000000000002247E-5</v>
      </c>
      <c r="AI5" s="15">
        <f t="shared" ref="AI5:AI23" si="15">F5-H5</f>
        <v>-3.0000000000002247E-5</v>
      </c>
      <c r="AJ5" s="15">
        <f t="shared" ref="AJ5:AJ23" si="16">J5-H5</f>
        <v>0</v>
      </c>
      <c r="AK5" s="15">
        <f t="shared" ref="AK5:AK23" si="17">L5-H5</f>
        <v>1.0000000000010001E-5</v>
      </c>
      <c r="AL5" s="15">
        <f t="shared" ref="AL5:AL23" si="18">N5-H5</f>
        <v>-1.0000000000010001E-5</v>
      </c>
      <c r="AM5" s="15">
        <f t="shared" ref="AM5:AM23" si="19">B5-D5</f>
        <v>-4.0000000000012248E-5</v>
      </c>
      <c r="AN5" s="15">
        <f t="shared" ref="AN5:AN23" si="20">D5-F5</f>
        <v>6.0000000000004494E-5</v>
      </c>
      <c r="AO5" s="15">
        <f t="shared" ref="AO5:AO23" si="21">B5-F5</f>
        <v>1.9999999999992246E-5</v>
      </c>
      <c r="AP5" s="15">
        <f t="shared" ref="AP5:AP23" si="22">F5-R5</f>
        <v>-7.999999999999674E-5</v>
      </c>
      <c r="AQ5" s="15">
        <f t="shared" ref="AQ5:AQ23" si="23">F5-T5</f>
        <v>-7.999999999999674E-5</v>
      </c>
      <c r="AR5" s="15">
        <f t="shared" ref="AR5:AR23" si="24">F5-V5</f>
        <v>-1.9999999999992246E-5</v>
      </c>
      <c r="AS5" s="15">
        <f t="shared" ref="AS5:AS23" si="25">F5-P5</f>
        <v>-1.4000000000000123E-4</v>
      </c>
      <c r="AT5" s="15">
        <f t="shared" ref="AT5:AT23" si="26">H5-R5</f>
        <v>-4.9999999999994493E-5</v>
      </c>
      <c r="AU5" s="15">
        <f t="shared" ref="AU5:AU23" si="27">H5-T5</f>
        <v>-4.9999999999994493E-5</v>
      </c>
      <c r="AV5" s="15">
        <f t="shared" ref="AV5:AV23" si="28">H5-V5</f>
        <v>1.0000000000010001E-5</v>
      </c>
      <c r="BE5" s="15">
        <v>0.16403999999999999</v>
      </c>
      <c r="BF5" s="15">
        <f>BF4+BE5</f>
        <v>0.25495000000000001</v>
      </c>
      <c r="BG5" s="15">
        <v>0.16428000000000001</v>
      </c>
      <c r="BH5" s="15">
        <f t="shared" ref="BH5:BH23" si="29">BH4+BG5</f>
        <v>0.25491000000000003</v>
      </c>
      <c r="BJ5" s="15">
        <f t="shared" si="1"/>
        <v>-7.999999999999674E-5</v>
      </c>
      <c r="BK5" s="15">
        <f t="shared" ref="BK5:BK23" si="30">F5-BG5</f>
        <v>-3.2000000000001472E-4</v>
      </c>
    </row>
    <row r="6" spans="1:63" x14ac:dyDescent="0.2">
      <c r="A6" s="17" t="s">
        <v>11</v>
      </c>
      <c r="B6" s="31">
        <v>0.14613999999999999</v>
      </c>
      <c r="C6" s="15">
        <f t="shared" si="2"/>
        <v>0.40103</v>
      </c>
      <c r="D6" s="1">
        <v>0.14613000000000001</v>
      </c>
      <c r="E6" s="15">
        <f t="shared" si="3"/>
        <v>0.40100000000000002</v>
      </c>
      <c r="F6" s="15">
        <v>0.14607000000000001</v>
      </c>
      <c r="G6" s="15">
        <f t="shared" si="4"/>
        <v>0.40092000000000005</v>
      </c>
      <c r="H6" s="15">
        <v>0.14587</v>
      </c>
      <c r="I6" s="15">
        <f t="shared" si="5"/>
        <v>0.40068999999999999</v>
      </c>
      <c r="J6" s="31">
        <v>0.14587</v>
      </c>
      <c r="K6" s="15">
        <f t="shared" si="5"/>
        <v>0.40071000000000001</v>
      </c>
      <c r="L6" s="15">
        <v>0.14580000000000001</v>
      </c>
      <c r="M6" s="15">
        <f t="shared" si="5"/>
        <v>0.40061999999999998</v>
      </c>
      <c r="N6" s="15">
        <v>0.14593999999999999</v>
      </c>
      <c r="O6" s="15">
        <f t="shared" ref="O6:O22" si="31">O5+N6</f>
        <v>0.40073999999999999</v>
      </c>
      <c r="P6" s="15">
        <v>0.14579</v>
      </c>
      <c r="Q6" s="15">
        <f t="shared" ref="Q6:S23" si="32">Q5+P6</f>
        <v>0.40076999999999996</v>
      </c>
      <c r="R6" s="15">
        <v>0.14579</v>
      </c>
      <c r="S6" s="15">
        <f t="shared" si="32"/>
        <v>0.40068999999999999</v>
      </c>
      <c r="T6" s="15">
        <v>0.14601</v>
      </c>
      <c r="U6">
        <f t="shared" ref="U6:U23" si="33">U5+T6</f>
        <v>0.40090999999999999</v>
      </c>
      <c r="V6" s="15">
        <v>0.14609</v>
      </c>
      <c r="W6">
        <f t="shared" ref="W6:W23" si="34">W5+V6</f>
        <v>0.40094999999999997</v>
      </c>
      <c r="X6" s="15">
        <f t="shared" si="6"/>
        <v>9.0000000000034497E-5</v>
      </c>
      <c r="Y6" s="15">
        <f t="shared" si="7"/>
        <v>-1.2000000000000899E-4</v>
      </c>
      <c r="Z6" s="15">
        <f t="shared" si="8"/>
        <v>-2.9999999999974492E-5</v>
      </c>
      <c r="AA6" s="15"/>
      <c r="AB6" s="15">
        <f t="shared" si="9"/>
        <v>6.9999999999986739E-5</v>
      </c>
      <c r="AC6" s="15">
        <f t="shared" si="10"/>
        <v>-1.3999999999997348E-4</v>
      </c>
      <c r="AD6" s="15">
        <f t="shared" si="11"/>
        <v>-6.9999999999986739E-5</v>
      </c>
      <c r="AE6" s="15">
        <f t="shared" si="12"/>
        <v>2.6000000000001022E-4</v>
      </c>
      <c r="AF6" s="15">
        <f t="shared" si="0"/>
        <v>3.2999999999999696E-4</v>
      </c>
      <c r="AG6" s="15">
        <f t="shared" si="13"/>
        <v>2.6999999999999247E-4</v>
      </c>
      <c r="AH6" s="15">
        <f t="shared" si="14"/>
        <v>2.6000000000001022E-4</v>
      </c>
      <c r="AI6" s="15">
        <f t="shared" si="15"/>
        <v>2.0000000000000573E-4</v>
      </c>
      <c r="AJ6" s="15">
        <f t="shared" si="16"/>
        <v>0</v>
      </c>
      <c r="AK6" s="15">
        <f t="shared" si="17"/>
        <v>-6.9999999999986739E-5</v>
      </c>
      <c r="AL6" s="15">
        <f t="shared" si="18"/>
        <v>6.9999999999986739E-5</v>
      </c>
      <c r="AM6" s="15">
        <f t="shared" si="19"/>
        <v>9.9999999999822453E-6</v>
      </c>
      <c r="AN6" s="15">
        <f t="shared" si="20"/>
        <v>6.0000000000004494E-5</v>
      </c>
      <c r="AO6" s="15">
        <f t="shared" si="21"/>
        <v>6.9999999999986739E-5</v>
      </c>
      <c r="AP6" s="15">
        <f t="shared" si="22"/>
        <v>2.8000000000000247E-4</v>
      </c>
      <c r="AQ6" s="15">
        <f t="shared" si="23"/>
        <v>6.0000000000004494E-5</v>
      </c>
      <c r="AR6" s="15">
        <f t="shared" si="24"/>
        <v>-1.9999999999992246E-5</v>
      </c>
      <c r="AS6" s="15">
        <f t="shared" si="25"/>
        <v>2.8000000000000247E-4</v>
      </c>
      <c r="AT6" s="15">
        <f t="shared" si="26"/>
        <v>7.999999999999674E-5</v>
      </c>
      <c r="AU6" s="15">
        <f t="shared" si="27"/>
        <v>-1.4000000000000123E-4</v>
      </c>
      <c r="AV6" s="15">
        <f t="shared" si="28"/>
        <v>-2.1999999999999797E-4</v>
      </c>
      <c r="BE6" s="15">
        <v>0.14587</v>
      </c>
      <c r="BF6" s="15">
        <f t="shared" ref="BF6:BF23" si="35">BF5+BE6</f>
        <v>0.40082000000000001</v>
      </c>
      <c r="BG6" s="15">
        <v>0.14566000000000001</v>
      </c>
      <c r="BH6" s="15">
        <f t="shared" si="29"/>
        <v>0.40057000000000004</v>
      </c>
      <c r="BJ6" s="15">
        <f t="shared" si="1"/>
        <v>2.0000000000000573E-4</v>
      </c>
      <c r="BK6" s="15">
        <f t="shared" si="30"/>
        <v>4.099999999999937E-4</v>
      </c>
    </row>
    <row r="7" spans="1:63" x14ac:dyDescent="0.2">
      <c r="A7" s="17" t="s">
        <v>12</v>
      </c>
      <c r="B7" s="31">
        <v>0.21304000000000001</v>
      </c>
      <c r="C7" s="15">
        <f t="shared" si="2"/>
        <v>0.61407</v>
      </c>
      <c r="D7" s="1">
        <v>0.21301</v>
      </c>
      <c r="E7" s="15">
        <f t="shared" si="3"/>
        <v>0.61401000000000006</v>
      </c>
      <c r="F7" s="15">
        <v>0.21299000000000001</v>
      </c>
      <c r="G7" s="15">
        <f t="shared" si="4"/>
        <v>0.61391000000000007</v>
      </c>
      <c r="H7" s="15">
        <v>0.21321999999999999</v>
      </c>
      <c r="I7" s="15">
        <f t="shared" si="5"/>
        <v>0.61390999999999996</v>
      </c>
      <c r="J7" s="31">
        <v>0.21318999999999999</v>
      </c>
      <c r="K7" s="15">
        <f t="shared" si="5"/>
        <v>0.6139</v>
      </c>
      <c r="L7" s="15">
        <v>0.21332999999999999</v>
      </c>
      <c r="M7" s="15">
        <f t="shared" si="5"/>
        <v>0.61395</v>
      </c>
      <c r="N7" s="15">
        <v>0.21312999999999999</v>
      </c>
      <c r="O7" s="15">
        <f t="shared" si="31"/>
        <v>0.61386999999999992</v>
      </c>
      <c r="P7" s="15">
        <v>0.21318999999999999</v>
      </c>
      <c r="Q7" s="15">
        <f t="shared" si="32"/>
        <v>0.61395999999999995</v>
      </c>
      <c r="R7" s="15">
        <v>0.21326999999999999</v>
      </c>
      <c r="S7" s="15">
        <f t="shared" si="32"/>
        <v>0.61395999999999995</v>
      </c>
      <c r="T7" s="15">
        <v>0.21309</v>
      </c>
      <c r="U7">
        <f t="shared" si="33"/>
        <v>0.61399999999999999</v>
      </c>
      <c r="V7" s="15">
        <v>0.21310999999999999</v>
      </c>
      <c r="W7">
        <f t="shared" si="34"/>
        <v>0.61405999999999994</v>
      </c>
      <c r="X7" s="15">
        <f t="shared" si="6"/>
        <v>-4.9999999999994493E-5</v>
      </c>
      <c r="Y7" s="15">
        <f t="shared" si="7"/>
        <v>8.0000000000080007E-5</v>
      </c>
      <c r="Z7" s="15">
        <f t="shared" si="8"/>
        <v>3.0000000000085514E-5</v>
      </c>
      <c r="AA7" s="15"/>
      <c r="AB7" s="15">
        <f t="shared" si="9"/>
        <v>-1.4000000000000123E-4</v>
      </c>
      <c r="AC7" s="15">
        <f t="shared" si="10"/>
        <v>2.0000000000000573E-4</v>
      </c>
      <c r="AD7" s="15">
        <f t="shared" si="11"/>
        <v>6.0000000000004494E-5</v>
      </c>
      <c r="AE7" s="15">
        <f t="shared" si="12"/>
        <v>-1.7999999999998573E-4</v>
      </c>
      <c r="AF7" s="15">
        <f t="shared" si="0"/>
        <v>-3.1999999999998696E-4</v>
      </c>
      <c r="AG7" s="15">
        <f t="shared" si="13"/>
        <v>-1.7999999999998573E-4</v>
      </c>
      <c r="AH7" s="15">
        <f t="shared" si="14"/>
        <v>-2.0999999999998797E-4</v>
      </c>
      <c r="AI7" s="15">
        <f t="shared" si="15"/>
        <v>-2.2999999999998022E-4</v>
      </c>
      <c r="AJ7" s="15">
        <f t="shared" si="16"/>
        <v>-3.0000000000002247E-5</v>
      </c>
      <c r="AK7" s="15">
        <f t="shared" si="17"/>
        <v>1.0999999999999899E-4</v>
      </c>
      <c r="AL7" s="15">
        <f t="shared" si="18"/>
        <v>-9.0000000000006741E-5</v>
      </c>
      <c r="AM7" s="15">
        <f t="shared" si="19"/>
        <v>3.0000000000002247E-5</v>
      </c>
      <c r="AN7" s="15">
        <f t="shared" si="20"/>
        <v>1.9999999999992246E-5</v>
      </c>
      <c r="AO7" s="15">
        <f t="shared" si="21"/>
        <v>4.9999999999994493E-5</v>
      </c>
      <c r="AP7" s="15">
        <f t="shared" si="22"/>
        <v>-2.7999999999997471E-4</v>
      </c>
      <c r="AQ7" s="15">
        <f t="shared" si="23"/>
        <v>-9.9999999999988987E-5</v>
      </c>
      <c r="AR7" s="15">
        <f>F7-V7</f>
        <v>-1.1999999999998123E-4</v>
      </c>
      <c r="AS7" s="15">
        <f t="shared" si="25"/>
        <v>-1.9999999999997797E-4</v>
      </c>
      <c r="AT7" s="15">
        <f t="shared" si="26"/>
        <v>-4.9999999999994493E-5</v>
      </c>
      <c r="AU7" s="15">
        <f t="shared" si="27"/>
        <v>1.2999999999999123E-4</v>
      </c>
      <c r="AV7" s="15">
        <f t="shared" si="28"/>
        <v>1.0999999999999899E-4</v>
      </c>
      <c r="BE7" s="15">
        <v>0.21321999999999999</v>
      </c>
      <c r="BF7" s="15">
        <f t="shared" si="35"/>
        <v>0.61404000000000003</v>
      </c>
      <c r="BG7" s="15">
        <v>0.21356</v>
      </c>
      <c r="BH7" s="15">
        <f t="shared" si="29"/>
        <v>0.61413000000000006</v>
      </c>
      <c r="BJ7" s="15">
        <f t="shared" si="1"/>
        <v>-2.2999999999998022E-4</v>
      </c>
      <c r="BK7" s="15">
        <f t="shared" si="30"/>
        <v>-5.6999999999998718E-4</v>
      </c>
    </row>
    <row r="8" spans="1:63" x14ac:dyDescent="0.2">
      <c r="A8" s="17" t="s">
        <v>13</v>
      </c>
      <c r="B8" s="31">
        <v>0.18614</v>
      </c>
      <c r="C8" s="15">
        <f t="shared" si="2"/>
        <v>0.80020999999999998</v>
      </c>
      <c r="D8" s="1">
        <v>0.18612999999999999</v>
      </c>
      <c r="E8" s="15">
        <f t="shared" si="3"/>
        <v>0.80014000000000007</v>
      </c>
      <c r="F8" s="15">
        <v>0.18623000000000001</v>
      </c>
      <c r="G8" s="15">
        <f t="shared" si="4"/>
        <v>0.80014000000000007</v>
      </c>
      <c r="H8" s="15">
        <v>0.18615999999999999</v>
      </c>
      <c r="I8" s="15">
        <f t="shared" si="5"/>
        <v>0.80006999999999995</v>
      </c>
      <c r="J8" s="31">
        <v>0.18615999999999999</v>
      </c>
      <c r="K8" s="15">
        <f t="shared" si="5"/>
        <v>0.80005999999999999</v>
      </c>
      <c r="L8" s="15">
        <v>0.18617</v>
      </c>
      <c r="M8" s="15">
        <f t="shared" si="5"/>
        <v>0.80011999999999994</v>
      </c>
      <c r="N8" s="15">
        <v>0.18615000000000001</v>
      </c>
      <c r="O8" s="15">
        <f t="shared" si="31"/>
        <v>0.80001999999999995</v>
      </c>
      <c r="P8" s="15">
        <v>0.18623999999999999</v>
      </c>
      <c r="Q8" s="15">
        <f t="shared" si="32"/>
        <v>0.80019999999999991</v>
      </c>
      <c r="R8" s="15">
        <v>0.18623000000000001</v>
      </c>
      <c r="S8" s="15">
        <f t="shared" si="32"/>
        <v>0.80018999999999996</v>
      </c>
      <c r="T8" s="15">
        <v>0.18612000000000001</v>
      </c>
      <c r="U8">
        <f t="shared" si="33"/>
        <v>0.80011999999999994</v>
      </c>
      <c r="V8" s="15">
        <v>0.18607000000000001</v>
      </c>
      <c r="W8">
        <f t="shared" si="34"/>
        <v>0.80013000000000001</v>
      </c>
      <c r="X8" s="15">
        <f t="shared" si="6"/>
        <v>-5.9999999999948983E-5</v>
      </c>
      <c r="Y8" s="15">
        <f t="shared" si="7"/>
        <v>9.9999999999988987E-5</v>
      </c>
      <c r="Z8" s="15">
        <f t="shared" si="8"/>
        <v>4.0000000000040004E-5</v>
      </c>
      <c r="AA8" s="15"/>
      <c r="AB8" s="15">
        <f t="shared" si="9"/>
        <v>-1.0000000000010001E-5</v>
      </c>
      <c r="AC8" s="15">
        <f t="shared" si="10"/>
        <v>1.9999999999992246E-5</v>
      </c>
      <c r="AD8" s="15">
        <f t="shared" si="11"/>
        <v>9.9999999999822453E-6</v>
      </c>
      <c r="AE8" s="15">
        <f t="shared" si="12"/>
        <v>-3.0000000000002247E-5</v>
      </c>
      <c r="AF8" s="15">
        <f t="shared" si="0"/>
        <v>-4.0000000000012248E-5</v>
      </c>
      <c r="AG8" s="15">
        <f t="shared" si="13"/>
        <v>-1.9999999999992246E-5</v>
      </c>
      <c r="AH8" s="15">
        <f t="shared" si="14"/>
        <v>-3.0000000000002247E-5</v>
      </c>
      <c r="AI8" s="15">
        <f t="shared" si="15"/>
        <v>7.0000000000014495E-5</v>
      </c>
      <c r="AJ8" s="15">
        <f t="shared" si="16"/>
        <v>0</v>
      </c>
      <c r="AK8" s="15">
        <f t="shared" si="17"/>
        <v>1.0000000000010001E-5</v>
      </c>
      <c r="AL8" s="15">
        <f t="shared" si="18"/>
        <v>-9.9999999999822453E-6</v>
      </c>
      <c r="AM8" s="15">
        <f t="shared" si="19"/>
        <v>1.0000000000010001E-5</v>
      </c>
      <c r="AN8" s="15">
        <f t="shared" si="20"/>
        <v>-1.0000000000001674E-4</v>
      </c>
      <c r="AO8" s="15">
        <f t="shared" si="21"/>
        <v>-9.0000000000006741E-5</v>
      </c>
      <c r="AP8" s="15">
        <f t="shared" si="22"/>
        <v>0</v>
      </c>
      <c r="AQ8" s="15">
        <f t="shared" si="23"/>
        <v>1.0999999999999899E-4</v>
      </c>
      <c r="AR8" s="15">
        <f t="shared" si="24"/>
        <v>1.5999999999999348E-4</v>
      </c>
      <c r="AS8" s="15">
        <f t="shared" si="25"/>
        <v>-9.9999999999822453E-6</v>
      </c>
      <c r="AT8" s="15">
        <f t="shared" si="26"/>
        <v>-7.0000000000014495E-5</v>
      </c>
      <c r="AU8" s="15">
        <f t="shared" si="27"/>
        <v>3.9999999999984492E-5</v>
      </c>
      <c r="AV8" s="15">
        <f t="shared" si="28"/>
        <v>8.9999999999978986E-5</v>
      </c>
      <c r="BE8" s="15">
        <v>0.1862</v>
      </c>
      <c r="BF8" s="15">
        <f t="shared" si="35"/>
        <v>0.80024000000000006</v>
      </c>
      <c r="BG8" s="15">
        <v>0.18589</v>
      </c>
      <c r="BH8" s="15">
        <f t="shared" si="29"/>
        <v>0.80002000000000006</v>
      </c>
      <c r="BJ8" s="15">
        <f t="shared" si="1"/>
        <v>3.0000000000002247E-5</v>
      </c>
      <c r="BK8" s="15">
        <f t="shared" si="30"/>
        <v>3.4000000000000696E-4</v>
      </c>
    </row>
    <row r="9" spans="1:63" x14ac:dyDescent="0.2">
      <c r="A9" s="17" t="s">
        <v>14</v>
      </c>
      <c r="B9" s="31">
        <v>0.19975999999999999</v>
      </c>
      <c r="C9" s="15">
        <f t="shared" si="2"/>
        <v>0.99997000000000003</v>
      </c>
      <c r="D9" s="31">
        <v>0.19979</v>
      </c>
      <c r="E9" s="15">
        <f t="shared" si="3"/>
        <v>0.9999300000000001</v>
      </c>
      <c r="F9" s="15">
        <v>0.19975000000000001</v>
      </c>
      <c r="G9" s="15">
        <f t="shared" si="4"/>
        <v>0.99989000000000006</v>
      </c>
      <c r="H9" s="15">
        <v>0.19971</v>
      </c>
      <c r="I9" s="15">
        <f t="shared" si="5"/>
        <v>0.99977999999999989</v>
      </c>
      <c r="J9" s="31">
        <v>0.19969000000000001</v>
      </c>
      <c r="K9" s="15">
        <f t="shared" si="5"/>
        <v>0.99975000000000003</v>
      </c>
      <c r="L9" s="15">
        <v>0.19969999999999999</v>
      </c>
      <c r="M9" s="15">
        <f t="shared" si="5"/>
        <v>0.99981999999999993</v>
      </c>
      <c r="N9" s="15">
        <v>0.19974</v>
      </c>
      <c r="O9" s="15">
        <f t="shared" si="31"/>
        <v>0.99975999999999998</v>
      </c>
      <c r="P9" s="15">
        <v>0.19971</v>
      </c>
      <c r="Q9" s="15">
        <f t="shared" si="32"/>
        <v>0.99990999999999985</v>
      </c>
      <c r="R9" s="15">
        <v>0.19974</v>
      </c>
      <c r="S9" s="15">
        <f t="shared" si="32"/>
        <v>0.99992999999999999</v>
      </c>
      <c r="T9" s="15">
        <v>0.19971</v>
      </c>
      <c r="U9">
        <f t="shared" si="33"/>
        <v>0.99983</v>
      </c>
      <c r="V9" s="15">
        <v>0.19972999999999999</v>
      </c>
      <c r="W9">
        <f t="shared" si="34"/>
        <v>0.99985999999999997</v>
      </c>
      <c r="X9" s="15">
        <f t="shared" si="6"/>
        <v>-6.9999999999903473E-5</v>
      </c>
      <c r="Y9" s="15">
        <f t="shared" si="7"/>
        <v>5.9999999999948983E-5</v>
      </c>
      <c r="Z9" s="15">
        <f t="shared" si="8"/>
        <v>-9.9999999999544897E-6</v>
      </c>
      <c r="AA9" s="15"/>
      <c r="AB9" s="15">
        <f t="shared" si="9"/>
        <v>-9.9999999999822453E-6</v>
      </c>
      <c r="AC9" s="15">
        <f t="shared" si="10"/>
        <v>-4.0000000000012248E-5</v>
      </c>
      <c r="AD9" s="15">
        <f t="shared" si="11"/>
        <v>-4.9999999999994493E-5</v>
      </c>
      <c r="AE9" s="15">
        <f t="shared" si="12"/>
        <v>9.9999999999988987E-5</v>
      </c>
      <c r="AF9" s="15">
        <f t="shared" si="0"/>
        <v>9.0000000000006741E-5</v>
      </c>
      <c r="AG9" s="15">
        <f t="shared" si="13"/>
        <v>4.9999999999994493E-5</v>
      </c>
      <c r="AH9" s="15">
        <f t="shared" si="14"/>
        <v>7.999999999999674E-5</v>
      </c>
      <c r="AI9" s="15">
        <f t="shared" si="15"/>
        <v>4.0000000000012248E-5</v>
      </c>
      <c r="AJ9" s="15">
        <f t="shared" si="16"/>
        <v>-1.9999999999992246E-5</v>
      </c>
      <c r="AK9" s="15">
        <f t="shared" si="17"/>
        <v>-1.0000000000010001E-5</v>
      </c>
      <c r="AL9" s="15">
        <f t="shared" si="18"/>
        <v>3.0000000000002247E-5</v>
      </c>
      <c r="AM9" s="15">
        <f t="shared" si="19"/>
        <v>-3.0000000000002247E-5</v>
      </c>
      <c r="AN9" s="15">
        <f t="shared" si="20"/>
        <v>3.9999999999984492E-5</v>
      </c>
      <c r="AO9" s="15">
        <f t="shared" si="21"/>
        <v>9.9999999999822453E-6</v>
      </c>
      <c r="AP9" s="15">
        <f t="shared" si="22"/>
        <v>1.0000000000010001E-5</v>
      </c>
      <c r="AQ9" s="15">
        <f t="shared" si="23"/>
        <v>4.0000000000012248E-5</v>
      </c>
      <c r="AR9" s="15">
        <f t="shared" si="24"/>
        <v>2.0000000000020002E-5</v>
      </c>
      <c r="AS9" s="15">
        <f t="shared" si="25"/>
        <v>4.0000000000012248E-5</v>
      </c>
      <c r="AT9" s="15">
        <f t="shared" si="26"/>
        <v>-3.0000000000002247E-5</v>
      </c>
      <c r="AU9" s="15">
        <f t="shared" si="27"/>
        <v>0</v>
      </c>
      <c r="AV9" s="15">
        <f t="shared" si="28"/>
        <v>-1.9999999999992246E-5</v>
      </c>
      <c r="BE9" s="15">
        <v>0.19964999999999999</v>
      </c>
      <c r="BF9" s="15">
        <f t="shared" si="35"/>
        <v>0.99989000000000006</v>
      </c>
      <c r="BG9" s="15">
        <v>0.19974</v>
      </c>
      <c r="BH9" s="15">
        <f t="shared" si="29"/>
        <v>0.99976000000000009</v>
      </c>
      <c r="BJ9" s="15">
        <f t="shared" si="1"/>
        <v>1.0000000000001674E-4</v>
      </c>
      <c r="BK9" s="15">
        <f t="shared" si="30"/>
        <v>1.0000000000010001E-5</v>
      </c>
    </row>
    <row r="10" spans="1:63" x14ac:dyDescent="0.2">
      <c r="A10" s="17" t="s">
        <v>15</v>
      </c>
      <c r="B10" s="31">
        <v>0.20499000000000001</v>
      </c>
      <c r="C10" s="15">
        <f t="shared" si="2"/>
        <v>1.20496</v>
      </c>
      <c r="D10" s="31">
        <v>0.20498</v>
      </c>
      <c r="E10" s="15">
        <f t="shared" si="3"/>
        <v>1.2049100000000001</v>
      </c>
      <c r="F10" s="15">
        <v>0.20505000000000001</v>
      </c>
      <c r="G10" s="15">
        <f t="shared" si="4"/>
        <v>1.2049400000000001</v>
      </c>
      <c r="H10" s="15">
        <v>0.20496</v>
      </c>
      <c r="I10" s="15">
        <f t="shared" si="5"/>
        <v>1.2047399999999999</v>
      </c>
      <c r="J10" s="31">
        <v>0.20501</v>
      </c>
      <c r="K10" s="15">
        <f t="shared" si="5"/>
        <v>1.2047600000000001</v>
      </c>
      <c r="L10" s="15">
        <v>0.20502000000000001</v>
      </c>
      <c r="M10" s="15">
        <f t="shared" si="5"/>
        <v>1.2048399999999999</v>
      </c>
      <c r="N10" s="15">
        <v>0.20491000000000001</v>
      </c>
      <c r="O10" s="15">
        <f t="shared" si="31"/>
        <v>1.2046699999999999</v>
      </c>
      <c r="P10" s="15">
        <v>0.20493</v>
      </c>
      <c r="Q10" s="15">
        <f t="shared" si="32"/>
        <v>1.2048399999999999</v>
      </c>
      <c r="R10" s="15">
        <v>0.20496</v>
      </c>
      <c r="S10" s="15">
        <f t="shared" si="32"/>
        <v>1.20489</v>
      </c>
      <c r="T10" s="15">
        <v>0.20499999999999999</v>
      </c>
      <c r="U10">
        <f t="shared" si="33"/>
        <v>1.2048300000000001</v>
      </c>
      <c r="V10" s="15">
        <v>0.20504</v>
      </c>
      <c r="W10">
        <f t="shared" si="34"/>
        <v>1.2048999999999999</v>
      </c>
      <c r="X10" s="15">
        <f t="shared" si="6"/>
        <v>-7.9999999999857963E-5</v>
      </c>
      <c r="Y10" s="15">
        <f t="shared" si="7"/>
        <v>1.7000000000000348E-4</v>
      </c>
      <c r="Z10" s="15">
        <f t="shared" si="8"/>
        <v>9.0000000000145519E-5</v>
      </c>
      <c r="AA10" s="15"/>
      <c r="AB10" s="15">
        <f t="shared" si="9"/>
        <v>-1.0000000000010001E-5</v>
      </c>
      <c r="AC10" s="15">
        <f t="shared" si="10"/>
        <v>1.0999999999999899E-4</v>
      </c>
      <c r="AD10" s="15">
        <f t="shared" si="11"/>
        <v>9.9999999999988987E-5</v>
      </c>
      <c r="AE10" s="15">
        <f t="shared" si="12"/>
        <v>-3.0000000000002247E-5</v>
      </c>
      <c r="AF10" s="15">
        <f t="shared" si="0"/>
        <v>-4.0000000000012248E-5</v>
      </c>
      <c r="AG10" s="15">
        <f t="shared" si="13"/>
        <v>3.0000000000002247E-5</v>
      </c>
      <c r="AH10" s="15">
        <f t="shared" si="14"/>
        <v>1.9999999999992246E-5</v>
      </c>
      <c r="AI10" s="15">
        <f t="shared" si="15"/>
        <v>9.0000000000006741E-5</v>
      </c>
      <c r="AJ10" s="15">
        <f t="shared" si="16"/>
        <v>4.9999999999994493E-5</v>
      </c>
      <c r="AK10" s="15">
        <f t="shared" si="17"/>
        <v>6.0000000000004494E-5</v>
      </c>
      <c r="AL10" s="15">
        <f t="shared" si="18"/>
        <v>-4.9999999999994493E-5</v>
      </c>
      <c r="AM10" s="15">
        <f t="shared" si="19"/>
        <v>1.0000000000010001E-5</v>
      </c>
      <c r="AN10" s="15">
        <f t="shared" si="20"/>
        <v>-7.0000000000014495E-5</v>
      </c>
      <c r="AO10" s="15">
        <f t="shared" si="21"/>
        <v>-6.0000000000004494E-5</v>
      </c>
      <c r="AP10" s="15">
        <f t="shared" si="22"/>
        <v>9.0000000000006741E-5</v>
      </c>
      <c r="AQ10" s="15">
        <f t="shared" si="23"/>
        <v>5.0000000000022249E-5</v>
      </c>
      <c r="AR10" s="15">
        <f t="shared" si="24"/>
        <v>1.0000000000010001E-5</v>
      </c>
      <c r="AS10" s="15">
        <f t="shared" si="25"/>
        <v>1.2000000000000899E-4</v>
      </c>
      <c r="AT10" s="15">
        <f t="shared" si="26"/>
        <v>0</v>
      </c>
      <c r="AU10" s="15">
        <f t="shared" si="27"/>
        <v>-3.9999999999984492E-5</v>
      </c>
      <c r="AV10" s="15">
        <f t="shared" si="28"/>
        <v>-7.999999999999674E-5</v>
      </c>
      <c r="BE10" s="15">
        <v>0.20513999999999999</v>
      </c>
      <c r="BF10" s="15">
        <f t="shared" si="35"/>
        <v>1.20503</v>
      </c>
      <c r="BG10" s="15">
        <v>0.20510999999999999</v>
      </c>
      <c r="BH10" s="15">
        <f t="shared" si="29"/>
        <v>1.2048700000000001</v>
      </c>
      <c r="BJ10" s="15">
        <f t="shared" si="1"/>
        <v>-8.9999999999978986E-5</v>
      </c>
      <c r="BK10" s="15">
        <f t="shared" si="30"/>
        <v>-5.9999999999976739E-5</v>
      </c>
    </row>
    <row r="11" spans="1:63" x14ac:dyDescent="0.2">
      <c r="A11" s="17" t="s">
        <v>16</v>
      </c>
      <c r="B11" s="31">
        <v>0.24693000000000001</v>
      </c>
      <c r="C11" s="15">
        <f t="shared" si="2"/>
        <v>1.4518900000000001</v>
      </c>
      <c r="D11" s="31">
        <v>0.24692</v>
      </c>
      <c r="E11" s="15">
        <f t="shared" si="3"/>
        <v>1.4518300000000002</v>
      </c>
      <c r="F11" s="15">
        <v>0.24686</v>
      </c>
      <c r="G11" s="15">
        <f t="shared" si="4"/>
        <v>1.4518000000000002</v>
      </c>
      <c r="H11" s="15">
        <v>0.24689</v>
      </c>
      <c r="I11" s="15">
        <f t="shared" si="5"/>
        <v>1.45163</v>
      </c>
      <c r="J11" s="31">
        <v>0.24687000000000001</v>
      </c>
      <c r="K11" s="15">
        <f t="shared" si="5"/>
        <v>1.45163</v>
      </c>
      <c r="L11" s="15">
        <v>0.24690999999999999</v>
      </c>
      <c r="M11" s="15">
        <f t="shared" si="5"/>
        <v>1.4517499999999999</v>
      </c>
      <c r="N11" s="15">
        <v>0.24689</v>
      </c>
      <c r="O11" s="15">
        <f t="shared" si="31"/>
        <v>1.45156</v>
      </c>
      <c r="P11" s="15">
        <v>0.24696000000000001</v>
      </c>
      <c r="Q11" s="15">
        <f t="shared" si="32"/>
        <v>1.4518</v>
      </c>
      <c r="R11" s="15">
        <v>0.24695</v>
      </c>
      <c r="S11" s="15">
        <f t="shared" si="32"/>
        <v>1.45184</v>
      </c>
      <c r="T11" s="15">
        <v>0.24693999999999999</v>
      </c>
      <c r="U11">
        <f t="shared" si="33"/>
        <v>1.45177</v>
      </c>
      <c r="V11" s="15">
        <v>0.24690000000000001</v>
      </c>
      <c r="W11">
        <f t="shared" si="34"/>
        <v>1.4518</v>
      </c>
      <c r="X11" s="15">
        <f t="shared" si="6"/>
        <v>-1.1999999999989797E-4</v>
      </c>
      <c r="Y11" s="15">
        <f t="shared" si="7"/>
        <v>1.8999999999991246E-4</v>
      </c>
      <c r="Z11" s="15">
        <f t="shared" si="8"/>
        <v>7.0000000000014495E-5</v>
      </c>
      <c r="AA11" s="15"/>
      <c r="AB11" s="15">
        <f t="shared" si="9"/>
        <v>-3.9999999999984492E-5</v>
      </c>
      <c r="AC11" s="15">
        <f t="shared" si="10"/>
        <v>1.9999999999992246E-5</v>
      </c>
      <c r="AD11" s="15">
        <f t="shared" si="11"/>
        <v>-1.9999999999992246E-5</v>
      </c>
      <c r="AE11" s="15">
        <f t="shared" si="12"/>
        <v>4.9999999999994493E-5</v>
      </c>
      <c r="AF11" s="15">
        <f t="shared" si="0"/>
        <v>1.0000000000010001E-5</v>
      </c>
      <c r="AG11" s="15">
        <f t="shared" si="13"/>
        <v>4.0000000000012248E-5</v>
      </c>
      <c r="AH11" s="15">
        <f t="shared" si="14"/>
        <v>3.0000000000002247E-5</v>
      </c>
      <c r="AI11" s="15">
        <f t="shared" si="15"/>
        <v>-3.0000000000002247E-5</v>
      </c>
      <c r="AJ11" s="15">
        <f t="shared" si="16"/>
        <v>-1.9999999999992246E-5</v>
      </c>
      <c r="AK11" s="15">
        <f t="shared" si="17"/>
        <v>1.9999999999992246E-5</v>
      </c>
      <c r="AL11" s="15">
        <f t="shared" si="18"/>
        <v>0</v>
      </c>
      <c r="AM11" s="15">
        <f t="shared" si="19"/>
        <v>1.0000000000010001E-5</v>
      </c>
      <c r="AN11" s="15">
        <f t="shared" si="20"/>
        <v>6.0000000000004494E-5</v>
      </c>
      <c r="AO11" s="15">
        <f t="shared" si="21"/>
        <v>7.0000000000014495E-5</v>
      </c>
      <c r="AP11" s="15">
        <f t="shared" si="22"/>
        <v>-9.0000000000006741E-5</v>
      </c>
      <c r="AQ11" s="15">
        <f t="shared" si="23"/>
        <v>-7.999999999999674E-5</v>
      </c>
      <c r="AR11" s="15">
        <f t="shared" si="24"/>
        <v>-4.0000000000012248E-5</v>
      </c>
      <c r="AS11" s="15">
        <f t="shared" si="25"/>
        <v>-1.0000000000001674E-4</v>
      </c>
      <c r="AT11" s="15">
        <f t="shared" si="26"/>
        <v>-6.0000000000004494E-5</v>
      </c>
      <c r="AU11" s="15">
        <f t="shared" si="27"/>
        <v>-4.9999999999994493E-5</v>
      </c>
      <c r="AV11" s="15">
        <f t="shared" si="28"/>
        <v>-1.0000000000010001E-5</v>
      </c>
      <c r="BE11" s="15">
        <v>0.24689</v>
      </c>
      <c r="BF11" s="15">
        <f t="shared" si="35"/>
        <v>1.4519200000000001</v>
      </c>
      <c r="BG11" s="15">
        <v>0.24709</v>
      </c>
      <c r="BH11" s="15">
        <f t="shared" si="29"/>
        <v>1.4519600000000001</v>
      </c>
      <c r="BJ11" s="15">
        <f t="shared" si="1"/>
        <v>-3.0000000000002247E-5</v>
      </c>
      <c r="BK11" s="15">
        <f t="shared" si="30"/>
        <v>-2.3000000000000798E-4</v>
      </c>
    </row>
    <row r="12" spans="1:63" x14ac:dyDescent="0.2">
      <c r="A12" s="17" t="s">
        <v>17</v>
      </c>
      <c r="B12" s="31">
        <v>0.26762999999999998</v>
      </c>
      <c r="C12" s="15">
        <f t="shared" si="2"/>
        <v>1.7195200000000002</v>
      </c>
      <c r="D12" s="31">
        <v>0.26766000000000001</v>
      </c>
      <c r="E12" s="15">
        <f t="shared" si="3"/>
        <v>1.7194900000000002</v>
      </c>
      <c r="F12" s="15">
        <v>0.26756999999999997</v>
      </c>
      <c r="G12" s="15">
        <f t="shared" si="4"/>
        <v>1.7193700000000001</v>
      </c>
      <c r="H12" s="15">
        <v>0.26758999999999999</v>
      </c>
      <c r="I12" s="15">
        <f t="shared" si="5"/>
        <v>1.71922</v>
      </c>
      <c r="J12" s="31">
        <v>0.26758999999999999</v>
      </c>
      <c r="K12" s="15">
        <f t="shared" si="5"/>
        <v>1.71922</v>
      </c>
      <c r="L12" s="15">
        <v>0.26756999999999997</v>
      </c>
      <c r="M12" s="15">
        <f t="shared" si="5"/>
        <v>1.7193199999999997</v>
      </c>
      <c r="N12" s="15">
        <v>0.2676</v>
      </c>
      <c r="O12" s="15">
        <f t="shared" si="31"/>
        <v>1.71916</v>
      </c>
      <c r="P12" s="15">
        <v>0.26768999999999998</v>
      </c>
      <c r="Q12" s="15">
        <f t="shared" si="32"/>
        <v>1.71949</v>
      </c>
      <c r="R12" s="15">
        <v>0.26765</v>
      </c>
      <c r="S12" s="15">
        <f t="shared" si="32"/>
        <v>1.71949</v>
      </c>
      <c r="T12" s="15">
        <v>0.26758999999999999</v>
      </c>
      <c r="U12">
        <f t="shared" si="33"/>
        <v>1.71936</v>
      </c>
      <c r="V12" s="15">
        <v>0.26762999999999998</v>
      </c>
      <c r="W12">
        <f t="shared" si="34"/>
        <v>1.71943</v>
      </c>
      <c r="X12" s="15">
        <f t="shared" si="6"/>
        <v>-9.9999999999766942E-5</v>
      </c>
      <c r="Y12" s="15">
        <f t="shared" si="7"/>
        <v>1.5999999999971593E-4</v>
      </c>
      <c r="Z12" s="15">
        <f t="shared" si="8"/>
        <v>5.9999999999948983E-5</v>
      </c>
      <c r="AA12" s="15"/>
      <c r="AB12" s="15">
        <f t="shared" si="9"/>
        <v>2.0000000000020002E-5</v>
      </c>
      <c r="AC12" s="15">
        <f t="shared" si="10"/>
        <v>-3.0000000000030003E-5</v>
      </c>
      <c r="AD12" s="15">
        <f t="shared" si="11"/>
        <v>-1.0000000000010001E-5</v>
      </c>
      <c r="AE12" s="15">
        <f t="shared" si="12"/>
        <v>7.0000000000014495E-5</v>
      </c>
      <c r="AF12" s="15">
        <f t="shared" si="0"/>
        <v>9.0000000000034497E-5</v>
      </c>
      <c r="AG12" s="15">
        <f t="shared" si="13"/>
        <v>3.9999999999984492E-5</v>
      </c>
      <c r="AH12" s="15">
        <f t="shared" si="14"/>
        <v>7.0000000000014495E-5</v>
      </c>
      <c r="AI12" s="15">
        <f t="shared" si="15"/>
        <v>-2.0000000000020002E-5</v>
      </c>
      <c r="AJ12" s="15">
        <f t="shared" si="16"/>
        <v>0</v>
      </c>
      <c r="AK12" s="15">
        <f t="shared" si="17"/>
        <v>-2.0000000000020002E-5</v>
      </c>
      <c r="AL12" s="15">
        <f t="shared" si="18"/>
        <v>1.0000000000010001E-5</v>
      </c>
      <c r="AM12" s="15">
        <f t="shared" si="19"/>
        <v>-3.0000000000030003E-5</v>
      </c>
      <c r="AN12" s="15">
        <f t="shared" si="20"/>
        <v>9.0000000000034497E-5</v>
      </c>
      <c r="AO12" s="15">
        <f t="shared" si="21"/>
        <v>6.0000000000004494E-5</v>
      </c>
      <c r="AP12" s="15">
        <f t="shared" si="22"/>
        <v>-8.0000000000024496E-5</v>
      </c>
      <c r="AQ12" s="15">
        <f t="shared" si="23"/>
        <v>-2.0000000000020002E-5</v>
      </c>
      <c r="AR12" s="15">
        <f t="shared" si="24"/>
        <v>-6.0000000000004494E-5</v>
      </c>
      <c r="AS12" s="15">
        <f t="shared" si="25"/>
        <v>-1.2000000000000899E-4</v>
      </c>
      <c r="AT12" s="15">
        <f t="shared" si="26"/>
        <v>-6.0000000000004494E-5</v>
      </c>
      <c r="AU12" s="15">
        <f t="shared" si="27"/>
        <v>0</v>
      </c>
      <c r="AV12" s="15">
        <f t="shared" si="28"/>
        <v>-3.9999999999984492E-5</v>
      </c>
      <c r="BE12" s="15">
        <v>0.26769999999999999</v>
      </c>
      <c r="BF12" s="15">
        <f t="shared" si="35"/>
        <v>1.7196200000000001</v>
      </c>
      <c r="BG12" s="15">
        <v>0.26740000000000003</v>
      </c>
      <c r="BH12" s="15">
        <f t="shared" si="29"/>
        <v>1.7193600000000002</v>
      </c>
      <c r="BJ12" s="15">
        <f t="shared" si="1"/>
        <v>-1.3000000000001899E-4</v>
      </c>
      <c r="BK12" s="15">
        <f t="shared" si="30"/>
        <v>1.6999999999994797E-4</v>
      </c>
    </row>
    <row r="13" spans="1:63" x14ac:dyDescent="0.2">
      <c r="A13" s="17" t="s">
        <v>18</v>
      </c>
      <c r="B13" s="31">
        <v>0.33306000000000002</v>
      </c>
      <c r="C13" s="15">
        <f t="shared" si="2"/>
        <v>2.0525800000000003</v>
      </c>
      <c r="D13" s="31">
        <v>0.33306000000000002</v>
      </c>
      <c r="E13" s="15">
        <f t="shared" si="3"/>
        <v>2.0525500000000001</v>
      </c>
      <c r="F13" s="15">
        <v>0.33312000000000003</v>
      </c>
      <c r="G13" s="15">
        <f t="shared" si="4"/>
        <v>2.0524900000000001</v>
      </c>
      <c r="H13" s="15">
        <v>0.33307999999999999</v>
      </c>
      <c r="I13" s="15">
        <f t="shared" si="5"/>
        <v>2.0522999999999998</v>
      </c>
      <c r="J13" s="31">
        <v>0.33310000000000001</v>
      </c>
      <c r="K13" s="15">
        <f t="shared" si="5"/>
        <v>2.0523199999999999</v>
      </c>
      <c r="L13" s="15">
        <v>0.33301999999999998</v>
      </c>
      <c r="M13" s="15">
        <f t="shared" si="5"/>
        <v>2.0523399999999996</v>
      </c>
      <c r="N13" s="15">
        <v>0.33312000000000003</v>
      </c>
      <c r="O13" s="15">
        <f t="shared" si="31"/>
        <v>2.0522800000000001</v>
      </c>
      <c r="P13" s="15">
        <v>0.33295000000000002</v>
      </c>
      <c r="Q13" s="15">
        <f t="shared" si="32"/>
        <v>2.0524399999999998</v>
      </c>
      <c r="R13" s="15">
        <v>0.33305000000000001</v>
      </c>
      <c r="S13" s="15">
        <f t="shared" si="32"/>
        <v>2.05254</v>
      </c>
      <c r="T13" s="15">
        <v>0.33307999999999999</v>
      </c>
      <c r="U13">
        <f t="shared" si="33"/>
        <v>2.0524399999999998</v>
      </c>
      <c r="V13" s="15">
        <v>0.33312999999999998</v>
      </c>
      <c r="W13">
        <f t="shared" si="34"/>
        <v>2.0525600000000002</v>
      </c>
      <c r="X13" s="15">
        <f t="shared" si="6"/>
        <v>-1.9999999999686935E-5</v>
      </c>
      <c r="Y13" s="15">
        <f t="shared" si="7"/>
        <v>5.9999999999504894E-5</v>
      </c>
      <c r="Z13" s="15">
        <f t="shared" si="8"/>
        <v>3.9999999999817959E-5</v>
      </c>
      <c r="AA13" s="15"/>
      <c r="AB13" s="15">
        <f t="shared" si="9"/>
        <v>8.0000000000024496E-5</v>
      </c>
      <c r="AC13" s="15">
        <f t="shared" si="10"/>
        <v>-1.000000000000445E-4</v>
      </c>
      <c r="AD13" s="15">
        <f t="shared" si="11"/>
        <v>-2.0000000000020002E-5</v>
      </c>
      <c r="AE13" s="15">
        <f t="shared" si="12"/>
        <v>-3.9999999999984492E-5</v>
      </c>
      <c r="AF13" s="15">
        <f t="shared" si="0"/>
        <v>4.0000000000040004E-5</v>
      </c>
      <c r="AG13" s="15">
        <f t="shared" si="13"/>
        <v>-1.9999999999964491E-5</v>
      </c>
      <c r="AH13" s="15">
        <f t="shared" si="14"/>
        <v>-1.9999999999964491E-5</v>
      </c>
      <c r="AI13" s="15">
        <f t="shared" si="15"/>
        <v>4.0000000000040004E-5</v>
      </c>
      <c r="AJ13" s="15">
        <f t="shared" si="16"/>
        <v>2.0000000000020002E-5</v>
      </c>
      <c r="AK13" s="15">
        <f t="shared" si="17"/>
        <v>-6.0000000000004494E-5</v>
      </c>
      <c r="AL13" s="15">
        <f t="shared" si="18"/>
        <v>4.0000000000040004E-5</v>
      </c>
      <c r="AM13" s="15">
        <f t="shared" si="19"/>
        <v>0</v>
      </c>
      <c r="AN13" s="15">
        <f t="shared" si="20"/>
        <v>-6.0000000000004494E-5</v>
      </c>
      <c r="AO13" s="15">
        <f t="shared" si="21"/>
        <v>-6.0000000000004494E-5</v>
      </c>
      <c r="AP13" s="15">
        <f t="shared" si="22"/>
        <v>7.0000000000014495E-5</v>
      </c>
      <c r="AQ13" s="15">
        <f t="shared" si="23"/>
        <v>4.0000000000040004E-5</v>
      </c>
      <c r="AR13" s="15">
        <f t="shared" si="24"/>
        <v>-9.9999999999544897E-6</v>
      </c>
      <c r="AS13" s="15">
        <f t="shared" si="25"/>
        <v>1.7000000000000348E-4</v>
      </c>
      <c r="AT13" s="15">
        <f t="shared" si="26"/>
        <v>2.9999999999974492E-5</v>
      </c>
      <c r="AU13" s="15">
        <f t="shared" si="27"/>
        <v>0</v>
      </c>
      <c r="AV13" s="15">
        <f t="shared" si="28"/>
        <v>-4.9999999999994493E-5</v>
      </c>
      <c r="BE13" s="15">
        <v>0.33306000000000002</v>
      </c>
      <c r="BF13" s="15">
        <f t="shared" si="35"/>
        <v>2.0526800000000001</v>
      </c>
      <c r="BG13" s="15">
        <v>0.33322000000000002</v>
      </c>
      <c r="BH13" s="15">
        <f t="shared" si="29"/>
        <v>2.0525800000000003</v>
      </c>
      <c r="BJ13" s="15">
        <f t="shared" si="1"/>
        <v>6.0000000000004494E-5</v>
      </c>
      <c r="BK13" s="15">
        <f t="shared" si="30"/>
        <v>-9.9999999999988987E-5</v>
      </c>
    </row>
    <row r="14" spans="1:63" x14ac:dyDescent="0.2">
      <c r="A14" s="17" t="s">
        <v>19</v>
      </c>
      <c r="B14" s="31">
        <v>0.26386999999999999</v>
      </c>
      <c r="C14" s="15">
        <f t="shared" si="2"/>
        <v>2.3164500000000001</v>
      </c>
      <c r="D14" s="31">
        <v>0.26386999999999999</v>
      </c>
      <c r="E14" s="15">
        <f t="shared" si="3"/>
        <v>2.3164199999999999</v>
      </c>
      <c r="F14" s="15">
        <v>0.26386999999999999</v>
      </c>
      <c r="G14" s="15">
        <f t="shared" si="4"/>
        <v>2.31636</v>
      </c>
      <c r="H14" s="15">
        <v>0.26379999999999998</v>
      </c>
      <c r="I14" s="15">
        <f t="shared" si="5"/>
        <v>2.3160999999999996</v>
      </c>
      <c r="J14" s="31">
        <v>0.26377</v>
      </c>
      <c r="K14" s="15">
        <f t="shared" si="5"/>
        <v>2.31609</v>
      </c>
      <c r="L14" s="15">
        <v>0.26388</v>
      </c>
      <c r="M14" s="15">
        <f t="shared" si="5"/>
        <v>2.3162199999999995</v>
      </c>
      <c r="N14" s="15">
        <v>0.26374999999999998</v>
      </c>
      <c r="O14" s="15">
        <f t="shared" si="31"/>
        <v>2.31603</v>
      </c>
      <c r="P14" s="15">
        <v>0.26390999999999998</v>
      </c>
      <c r="Q14" s="15">
        <f t="shared" si="32"/>
        <v>2.3163499999999999</v>
      </c>
      <c r="R14" s="15">
        <v>0.26384000000000002</v>
      </c>
      <c r="S14" s="15">
        <f t="shared" si="32"/>
        <v>2.3163800000000001</v>
      </c>
      <c r="T14" s="15">
        <v>0.26384000000000002</v>
      </c>
      <c r="U14">
        <f t="shared" si="33"/>
        <v>2.3162799999999999</v>
      </c>
      <c r="V14" s="15">
        <v>0.26382</v>
      </c>
      <c r="W14">
        <f t="shared" si="34"/>
        <v>2.3163800000000001</v>
      </c>
      <c r="X14" s="15">
        <f t="shared" si="6"/>
        <v>-1.2999999999951939E-4</v>
      </c>
      <c r="Y14" s="15">
        <f t="shared" si="7"/>
        <v>1.8999999999946837E-4</v>
      </c>
      <c r="Z14" s="15">
        <f t="shared" si="8"/>
        <v>5.9999999999948983E-5</v>
      </c>
      <c r="AA14" s="15"/>
      <c r="AB14" s="15">
        <f t="shared" si="9"/>
        <v>-1.0999999999999899E-4</v>
      </c>
      <c r="AC14" s="15">
        <f t="shared" si="10"/>
        <v>1.3000000000001899E-4</v>
      </c>
      <c r="AD14" s="15">
        <f t="shared" si="11"/>
        <v>2.0000000000020002E-5</v>
      </c>
      <c r="AE14" s="15">
        <f t="shared" si="12"/>
        <v>9.9999999999988987E-5</v>
      </c>
      <c r="AF14" s="15">
        <f t="shared" si="0"/>
        <v>-1.0000000000010001E-5</v>
      </c>
      <c r="AG14" s="15">
        <f t="shared" si="13"/>
        <v>7.0000000000014495E-5</v>
      </c>
      <c r="AH14" s="15">
        <f t="shared" si="14"/>
        <v>7.0000000000014495E-5</v>
      </c>
      <c r="AI14" s="15">
        <f t="shared" si="15"/>
        <v>7.0000000000014495E-5</v>
      </c>
      <c r="AJ14" s="15">
        <f t="shared" si="16"/>
        <v>-2.9999999999974492E-5</v>
      </c>
      <c r="AK14" s="15">
        <f t="shared" si="17"/>
        <v>8.0000000000024496E-5</v>
      </c>
      <c r="AL14" s="15">
        <f t="shared" si="18"/>
        <v>-4.9999999999994493E-5</v>
      </c>
      <c r="AM14" s="15">
        <f t="shared" si="19"/>
        <v>0</v>
      </c>
      <c r="AN14" s="15">
        <f t="shared" si="20"/>
        <v>0</v>
      </c>
      <c r="AO14" s="15">
        <f t="shared" si="21"/>
        <v>0</v>
      </c>
      <c r="AP14" s="15">
        <f t="shared" si="22"/>
        <v>2.9999999999974492E-5</v>
      </c>
      <c r="AQ14" s="15">
        <f t="shared" si="23"/>
        <v>2.9999999999974492E-5</v>
      </c>
      <c r="AR14" s="15">
        <f t="shared" si="24"/>
        <v>4.9999999999994493E-5</v>
      </c>
      <c r="AS14" s="15">
        <f t="shared" si="25"/>
        <v>-3.9999999999984492E-5</v>
      </c>
      <c r="AT14" s="15">
        <f t="shared" si="26"/>
        <v>-4.0000000000040004E-5</v>
      </c>
      <c r="AU14" s="15">
        <f t="shared" si="27"/>
        <v>-4.0000000000040004E-5</v>
      </c>
      <c r="AV14" s="15">
        <f t="shared" si="28"/>
        <v>-2.0000000000020002E-5</v>
      </c>
      <c r="BE14" s="15">
        <v>0.26384000000000002</v>
      </c>
      <c r="BF14" s="15">
        <f t="shared" si="35"/>
        <v>2.3165200000000001</v>
      </c>
      <c r="BG14" s="15">
        <v>0.26404</v>
      </c>
      <c r="BH14" s="15">
        <f t="shared" si="29"/>
        <v>2.3166200000000003</v>
      </c>
      <c r="BJ14" s="15">
        <f t="shared" si="1"/>
        <v>2.9999999999974492E-5</v>
      </c>
      <c r="BK14" s="15">
        <f t="shared" si="30"/>
        <v>-1.7000000000000348E-4</v>
      </c>
    </row>
    <row r="15" spans="1:63" x14ac:dyDescent="0.2">
      <c r="A15" s="17" t="s">
        <v>20</v>
      </c>
      <c r="B15" s="31">
        <v>0.12569</v>
      </c>
      <c r="C15" s="15">
        <f t="shared" si="2"/>
        <v>2.4421400000000002</v>
      </c>
      <c r="D15" s="31">
        <v>0.12570999999999999</v>
      </c>
      <c r="E15" s="15">
        <f t="shared" si="3"/>
        <v>2.4421299999999997</v>
      </c>
      <c r="F15" s="15">
        <v>0.12570000000000001</v>
      </c>
      <c r="G15" s="15">
        <f t="shared" si="4"/>
        <v>2.4420600000000001</v>
      </c>
      <c r="H15" s="15">
        <v>0.12569</v>
      </c>
      <c r="I15" s="15">
        <f t="shared" si="5"/>
        <v>2.4417899999999997</v>
      </c>
      <c r="J15" s="31">
        <v>0.12567</v>
      </c>
      <c r="K15" s="15">
        <f t="shared" si="5"/>
        <v>2.4417599999999999</v>
      </c>
      <c r="L15" s="15">
        <v>0.12572</v>
      </c>
      <c r="M15" s="15">
        <f t="shared" si="5"/>
        <v>2.4419399999999993</v>
      </c>
      <c r="N15" s="15">
        <v>0.12567</v>
      </c>
      <c r="O15" s="15">
        <f t="shared" si="31"/>
        <v>2.4417</v>
      </c>
      <c r="P15" s="15">
        <v>0.12551000000000001</v>
      </c>
      <c r="Q15" s="15">
        <f t="shared" si="32"/>
        <v>2.4418600000000001</v>
      </c>
      <c r="R15" s="15">
        <v>0.1255</v>
      </c>
      <c r="S15" s="15">
        <f t="shared" si="32"/>
        <v>2.4418800000000003</v>
      </c>
      <c r="T15" s="15">
        <v>0.12543000000000001</v>
      </c>
      <c r="U15">
        <f t="shared" si="33"/>
        <v>2.44171</v>
      </c>
      <c r="V15" s="15">
        <v>0.12545999999999999</v>
      </c>
      <c r="W15">
        <f t="shared" si="34"/>
        <v>2.44184</v>
      </c>
      <c r="X15" s="15">
        <f t="shared" si="6"/>
        <v>-1.7999999999940286E-4</v>
      </c>
      <c r="Y15" s="15">
        <f t="shared" si="7"/>
        <v>2.3999999999935184E-4</v>
      </c>
      <c r="Z15" s="15">
        <f t="shared" si="8"/>
        <v>5.9999999999948983E-5</v>
      </c>
      <c r="AA15" s="15"/>
      <c r="AB15" s="15">
        <f t="shared" si="9"/>
        <v>-4.9999999999994493E-5</v>
      </c>
      <c r="AC15" s="15">
        <f t="shared" si="10"/>
        <v>4.9999999999994493E-5</v>
      </c>
      <c r="AD15" s="15">
        <f t="shared" si="11"/>
        <v>0</v>
      </c>
      <c r="AE15" s="15">
        <f t="shared" si="12"/>
        <v>3.9999999999984492E-5</v>
      </c>
      <c r="AF15" s="15">
        <f t="shared" si="0"/>
        <v>-1.0000000000010001E-5</v>
      </c>
      <c r="AG15" s="15">
        <f t="shared" si="13"/>
        <v>0</v>
      </c>
      <c r="AH15" s="15">
        <f t="shared" si="14"/>
        <v>1.9999999999992246E-5</v>
      </c>
      <c r="AI15" s="15">
        <f t="shared" si="15"/>
        <v>1.0000000000010001E-5</v>
      </c>
      <c r="AJ15" s="15">
        <f t="shared" si="16"/>
        <v>-1.9999999999992246E-5</v>
      </c>
      <c r="AK15" s="15">
        <f t="shared" si="17"/>
        <v>3.0000000000002247E-5</v>
      </c>
      <c r="AL15" s="15">
        <f t="shared" si="18"/>
        <v>-1.9999999999992246E-5</v>
      </c>
      <c r="AM15" s="15">
        <f t="shared" si="19"/>
        <v>-1.9999999999992246E-5</v>
      </c>
      <c r="AN15" s="15">
        <f t="shared" si="20"/>
        <v>9.9999999999822453E-6</v>
      </c>
      <c r="AO15" s="15">
        <f t="shared" si="21"/>
        <v>-1.0000000000010001E-5</v>
      </c>
      <c r="AP15" s="15">
        <f t="shared" si="22"/>
        <v>2.0000000000000573E-4</v>
      </c>
      <c r="AQ15" s="15">
        <f t="shared" si="23"/>
        <v>2.6999999999999247E-4</v>
      </c>
      <c r="AR15" s="15">
        <f t="shared" si="24"/>
        <v>2.4000000000001798E-4</v>
      </c>
      <c r="AS15" s="15">
        <f t="shared" si="25"/>
        <v>1.8999999999999573E-4</v>
      </c>
      <c r="AT15" s="15">
        <f t="shared" si="26"/>
        <v>1.8999999999999573E-4</v>
      </c>
      <c r="AU15" s="15">
        <f t="shared" si="27"/>
        <v>2.5999999999998247E-4</v>
      </c>
      <c r="AV15" s="15">
        <f t="shared" si="28"/>
        <v>2.3000000000000798E-4</v>
      </c>
      <c r="BE15" s="15">
        <v>0.12565999999999999</v>
      </c>
      <c r="BF15" s="15">
        <f t="shared" si="35"/>
        <v>2.44218</v>
      </c>
      <c r="BG15" s="15">
        <v>0.12579000000000001</v>
      </c>
      <c r="BH15" s="15">
        <f t="shared" si="29"/>
        <v>2.4424100000000002</v>
      </c>
      <c r="BJ15" s="15">
        <f t="shared" si="1"/>
        <v>4.0000000000012248E-5</v>
      </c>
      <c r="BK15" s="15">
        <f t="shared" si="30"/>
        <v>-9.0000000000006741E-5</v>
      </c>
    </row>
    <row r="16" spans="1:63" x14ac:dyDescent="0.2">
      <c r="A16" s="17" t="s">
        <v>21</v>
      </c>
      <c r="B16" s="31">
        <v>0.12984000000000001</v>
      </c>
      <c r="C16" s="15">
        <f t="shared" si="2"/>
        <v>2.5719800000000004</v>
      </c>
      <c r="D16" s="31">
        <v>0.12983</v>
      </c>
      <c r="E16" s="15">
        <f t="shared" si="3"/>
        <v>2.5719599999999998</v>
      </c>
      <c r="F16" s="15">
        <v>0.12983</v>
      </c>
      <c r="G16" s="15">
        <f t="shared" si="4"/>
        <v>2.5718900000000002</v>
      </c>
      <c r="H16" s="15">
        <v>0.12948000000000001</v>
      </c>
      <c r="I16" s="15">
        <f t="shared" si="5"/>
        <v>2.5712699999999997</v>
      </c>
      <c r="J16" s="31">
        <v>0.12948999999999999</v>
      </c>
      <c r="K16" s="15">
        <f t="shared" si="5"/>
        <v>2.57125</v>
      </c>
      <c r="L16" s="15">
        <v>0.12948000000000001</v>
      </c>
      <c r="M16" s="15">
        <f t="shared" si="5"/>
        <v>2.5714199999999994</v>
      </c>
      <c r="N16" s="15">
        <v>0.12945999999999999</v>
      </c>
      <c r="O16" s="15">
        <f t="shared" si="31"/>
        <v>2.5711599999999999</v>
      </c>
      <c r="P16" s="15">
        <v>0.12963</v>
      </c>
      <c r="Q16" s="15">
        <f t="shared" si="32"/>
        <v>2.5714900000000003</v>
      </c>
      <c r="R16" s="15">
        <v>0.12969</v>
      </c>
      <c r="S16" s="15">
        <f t="shared" si="32"/>
        <v>2.5715700000000004</v>
      </c>
      <c r="T16" s="15">
        <v>0.12964999999999999</v>
      </c>
      <c r="U16">
        <f t="shared" si="33"/>
        <v>2.5713599999999999</v>
      </c>
      <c r="V16" s="15">
        <v>0.12969</v>
      </c>
      <c r="W16">
        <f t="shared" si="34"/>
        <v>2.5715300000000001</v>
      </c>
      <c r="X16" s="15">
        <f t="shared" si="6"/>
        <v>-1.6999999999933735E-4</v>
      </c>
      <c r="Y16" s="15">
        <f t="shared" si="7"/>
        <v>2.5999999999948287E-4</v>
      </c>
      <c r="Z16" s="15">
        <f t="shared" si="8"/>
        <v>9.0000000000145519E-5</v>
      </c>
      <c r="AA16" s="15"/>
      <c r="AB16" s="15">
        <f t="shared" si="9"/>
        <v>9.9999999999822453E-6</v>
      </c>
      <c r="AC16" s="15">
        <f t="shared" si="10"/>
        <v>2.0000000000020002E-5</v>
      </c>
      <c r="AD16" s="15">
        <f t="shared" si="11"/>
        <v>3.0000000000002247E-5</v>
      </c>
      <c r="AE16" s="15">
        <f t="shared" si="12"/>
        <v>3.4000000000000696E-4</v>
      </c>
      <c r="AF16" s="15">
        <f t="shared" si="0"/>
        <v>3.4999999999998921E-4</v>
      </c>
      <c r="AG16" s="15">
        <f t="shared" si="13"/>
        <v>3.5999999999999921E-4</v>
      </c>
      <c r="AH16" s="15">
        <f t="shared" si="14"/>
        <v>3.4999999999998921E-4</v>
      </c>
      <c r="AI16" s="15">
        <f t="shared" si="15"/>
        <v>3.4999999999998921E-4</v>
      </c>
      <c r="AJ16" s="15">
        <f t="shared" si="16"/>
        <v>9.9999999999822453E-6</v>
      </c>
      <c r="AK16" s="15">
        <f t="shared" si="17"/>
        <v>0</v>
      </c>
      <c r="AL16" s="15">
        <f t="shared" si="18"/>
        <v>-2.0000000000020002E-5</v>
      </c>
      <c r="AM16" s="15">
        <f t="shared" si="19"/>
        <v>1.0000000000010001E-5</v>
      </c>
      <c r="AN16" s="15">
        <f t="shared" si="20"/>
        <v>0</v>
      </c>
      <c r="AO16" s="15">
        <f t="shared" si="21"/>
        <v>1.0000000000010001E-5</v>
      </c>
      <c r="AP16" s="15">
        <f t="shared" si="22"/>
        <v>1.4000000000000123E-4</v>
      </c>
      <c r="AQ16" s="15">
        <f t="shared" si="23"/>
        <v>1.8000000000001348E-4</v>
      </c>
      <c r="AR16" s="15">
        <f t="shared" si="24"/>
        <v>1.4000000000000123E-4</v>
      </c>
      <c r="AS16" s="15">
        <f t="shared" si="25"/>
        <v>2.0000000000000573E-4</v>
      </c>
      <c r="AT16" s="15">
        <f t="shared" si="26"/>
        <v>-2.0999999999998797E-4</v>
      </c>
      <c r="AU16" s="15">
        <f t="shared" si="27"/>
        <v>-1.6999999999997573E-4</v>
      </c>
      <c r="AV16" s="15">
        <f t="shared" si="28"/>
        <v>-2.0999999999998797E-4</v>
      </c>
      <c r="BE16" s="15">
        <v>0.12953000000000001</v>
      </c>
      <c r="BF16" s="15">
        <f t="shared" si="35"/>
        <v>2.5717099999999999</v>
      </c>
      <c r="BG16" s="15">
        <v>0.12969</v>
      </c>
      <c r="BH16" s="15">
        <f t="shared" si="29"/>
        <v>2.5721000000000003</v>
      </c>
      <c r="BJ16" s="15">
        <f t="shared" si="1"/>
        <v>2.9999999999999472E-4</v>
      </c>
      <c r="BK16" s="15">
        <f t="shared" si="30"/>
        <v>1.4000000000000123E-4</v>
      </c>
    </row>
    <row r="17" spans="1:63" x14ac:dyDescent="0.2">
      <c r="A17" s="17" t="s">
        <v>22</v>
      </c>
      <c r="B17" s="31">
        <v>0.22867999999999999</v>
      </c>
      <c r="C17" s="15">
        <f t="shared" si="2"/>
        <v>2.8006600000000006</v>
      </c>
      <c r="D17" s="31">
        <v>0.22867999999999999</v>
      </c>
      <c r="E17" s="15">
        <f t="shared" si="3"/>
        <v>2.8006399999999996</v>
      </c>
      <c r="F17" s="15">
        <v>0.22864999999999999</v>
      </c>
      <c r="G17" s="15">
        <f t="shared" si="4"/>
        <v>2.8005400000000003</v>
      </c>
      <c r="H17" s="15">
        <v>0.22897999999999999</v>
      </c>
      <c r="I17" s="15">
        <f t="shared" si="5"/>
        <v>2.8002499999999997</v>
      </c>
      <c r="J17" s="31">
        <v>0.22899</v>
      </c>
      <c r="K17" s="15">
        <f t="shared" si="5"/>
        <v>2.8002400000000001</v>
      </c>
      <c r="L17" s="15">
        <v>0.22896</v>
      </c>
      <c r="M17" s="15">
        <f t="shared" si="5"/>
        <v>2.8003799999999992</v>
      </c>
      <c r="N17" s="15">
        <v>0.22897000000000001</v>
      </c>
      <c r="O17" s="15">
        <f t="shared" si="31"/>
        <v>2.8001299999999998</v>
      </c>
      <c r="P17" s="15">
        <v>0.22919</v>
      </c>
      <c r="Q17" s="15">
        <f t="shared" si="32"/>
        <v>2.8006800000000003</v>
      </c>
      <c r="R17" s="15">
        <v>0.22911999999999999</v>
      </c>
      <c r="S17" s="15">
        <f t="shared" si="32"/>
        <v>2.8006900000000003</v>
      </c>
      <c r="T17" s="15">
        <v>0.22900000000000001</v>
      </c>
      <c r="U17">
        <f t="shared" si="33"/>
        <v>2.80036</v>
      </c>
      <c r="V17" s="15">
        <v>0.22903000000000001</v>
      </c>
      <c r="W17">
        <f t="shared" si="34"/>
        <v>2.8005599999999999</v>
      </c>
      <c r="X17" s="15">
        <f t="shared" si="6"/>
        <v>-1.3999999999914081E-4</v>
      </c>
      <c r="Y17" s="15">
        <f t="shared" si="7"/>
        <v>2.4999999999941735E-4</v>
      </c>
      <c r="Z17" s="15">
        <f t="shared" si="8"/>
        <v>1.1000000000027654E-4</v>
      </c>
      <c r="AA17" s="15"/>
      <c r="AB17" s="15">
        <f t="shared" si="9"/>
        <v>3.0000000000002247E-5</v>
      </c>
      <c r="AC17" s="15">
        <f t="shared" si="10"/>
        <v>-1.0000000000010001E-5</v>
      </c>
      <c r="AD17" s="15">
        <f t="shared" si="11"/>
        <v>1.9999999999992246E-5</v>
      </c>
      <c r="AE17" s="15">
        <f t="shared" si="12"/>
        <v>-3.1000000000000472E-4</v>
      </c>
      <c r="AF17" s="15">
        <f t="shared" si="0"/>
        <v>-2.8000000000000247E-4</v>
      </c>
      <c r="AG17" s="15">
        <f t="shared" si="13"/>
        <v>-2.9999999999999472E-4</v>
      </c>
      <c r="AH17" s="15">
        <f t="shared" si="14"/>
        <v>-2.9999999999999472E-4</v>
      </c>
      <c r="AI17" s="15">
        <f t="shared" si="15"/>
        <v>-3.2999999999999696E-4</v>
      </c>
      <c r="AJ17" s="15">
        <f t="shared" si="16"/>
        <v>1.0000000000010001E-5</v>
      </c>
      <c r="AK17" s="15">
        <f t="shared" si="17"/>
        <v>-1.9999999999992246E-5</v>
      </c>
      <c r="AL17" s="15">
        <f t="shared" si="18"/>
        <v>-9.9999999999822453E-6</v>
      </c>
      <c r="AM17" s="15">
        <f t="shared" si="19"/>
        <v>0</v>
      </c>
      <c r="AN17" s="15">
        <f t="shared" si="20"/>
        <v>3.0000000000002247E-5</v>
      </c>
      <c r="AO17" s="15">
        <f t="shared" si="21"/>
        <v>3.0000000000002247E-5</v>
      </c>
      <c r="AP17" s="15">
        <f t="shared" si="22"/>
        <v>-4.699999999999982E-4</v>
      </c>
      <c r="AQ17" s="15">
        <f t="shared" si="23"/>
        <v>-3.5000000000001696E-4</v>
      </c>
      <c r="AR17" s="15">
        <f t="shared" si="24"/>
        <v>-3.8000000000001921E-4</v>
      </c>
      <c r="AS17" s="15">
        <f t="shared" si="25"/>
        <v>-5.4000000000001269E-4</v>
      </c>
      <c r="AT17" s="15">
        <f t="shared" si="26"/>
        <v>-1.4000000000000123E-4</v>
      </c>
      <c r="AU17" s="15">
        <f t="shared" si="27"/>
        <v>-2.0000000000020002E-5</v>
      </c>
      <c r="AV17" s="15">
        <f t="shared" si="28"/>
        <v>-5.0000000000022249E-5</v>
      </c>
      <c r="BE17" s="15">
        <v>0.22892000000000001</v>
      </c>
      <c r="BF17" s="15">
        <f t="shared" si="35"/>
        <v>2.80063</v>
      </c>
      <c r="BG17" s="15">
        <v>0.22842999999999999</v>
      </c>
      <c r="BH17" s="15">
        <f t="shared" si="29"/>
        <v>2.8005300000000002</v>
      </c>
      <c r="BJ17" s="15">
        <f t="shared" si="1"/>
        <v>-2.7000000000002022E-4</v>
      </c>
      <c r="BK17" s="15">
        <f t="shared" si="30"/>
        <v>2.1999999999999797E-4</v>
      </c>
    </row>
    <row r="18" spans="1:63" x14ac:dyDescent="0.2">
      <c r="A18" s="17" t="s">
        <v>23</v>
      </c>
      <c r="B18" s="31">
        <v>0.18225</v>
      </c>
      <c r="C18" s="15">
        <f t="shared" si="2"/>
        <v>2.9829100000000004</v>
      </c>
      <c r="D18" s="31">
        <v>0.18226999999999999</v>
      </c>
      <c r="E18" s="15">
        <f t="shared" si="3"/>
        <v>2.9829099999999995</v>
      </c>
      <c r="F18" s="15">
        <v>0.18235000000000001</v>
      </c>
      <c r="G18" s="15">
        <f t="shared" si="4"/>
        <v>2.9828900000000003</v>
      </c>
      <c r="H18" s="15">
        <v>0.18224000000000001</v>
      </c>
      <c r="I18" s="15">
        <f t="shared" si="5"/>
        <v>2.9824899999999999</v>
      </c>
      <c r="J18" s="31">
        <v>0.18226000000000001</v>
      </c>
      <c r="K18" s="15">
        <f t="shared" si="5"/>
        <v>2.9824999999999999</v>
      </c>
      <c r="L18" s="15">
        <v>0.18215999999999999</v>
      </c>
      <c r="M18" s="15">
        <f t="shared" si="5"/>
        <v>2.9825399999999993</v>
      </c>
      <c r="N18" s="15">
        <v>0.18224000000000001</v>
      </c>
      <c r="O18" s="15">
        <f t="shared" si="31"/>
        <v>2.98237</v>
      </c>
      <c r="P18" s="15">
        <v>0.18207000000000001</v>
      </c>
      <c r="Q18" s="15">
        <f t="shared" si="32"/>
        <v>2.9827500000000002</v>
      </c>
      <c r="R18" s="15">
        <v>0.18215000000000001</v>
      </c>
      <c r="S18" s="15">
        <f t="shared" si="32"/>
        <v>2.9828400000000004</v>
      </c>
      <c r="T18" s="15">
        <v>0.18223</v>
      </c>
      <c r="U18">
        <f t="shared" si="33"/>
        <v>2.9825900000000001</v>
      </c>
      <c r="V18" s="15">
        <v>0.1822</v>
      </c>
      <c r="W18">
        <f t="shared" si="34"/>
        <v>2.9827599999999999</v>
      </c>
      <c r="X18" s="15">
        <f t="shared" si="6"/>
        <v>-3.999999999937387E-5</v>
      </c>
      <c r="Y18" s="15">
        <f t="shared" si="7"/>
        <v>1.6999999999933735E-4</v>
      </c>
      <c r="Z18" s="15">
        <f t="shared" si="8"/>
        <v>1.2999999999996348E-4</v>
      </c>
      <c r="AA18" s="15"/>
      <c r="AB18" s="15">
        <f t="shared" si="9"/>
        <v>1.0000000000001674E-4</v>
      </c>
      <c r="AC18" s="15">
        <f t="shared" si="10"/>
        <v>-8.0000000000024496E-5</v>
      </c>
      <c r="AD18" s="15">
        <f t="shared" si="11"/>
        <v>1.9999999999992246E-5</v>
      </c>
      <c r="AE18" s="15">
        <f t="shared" si="12"/>
        <v>9.9999999999822453E-6</v>
      </c>
      <c r="AF18" s="15">
        <f t="shared" si="0"/>
        <v>1.0999999999999899E-4</v>
      </c>
      <c r="AG18" s="15">
        <f t="shared" si="13"/>
        <v>9.9999999999822453E-6</v>
      </c>
      <c r="AH18" s="15">
        <f t="shared" si="14"/>
        <v>2.9999999999974492E-5</v>
      </c>
      <c r="AI18" s="15">
        <f t="shared" si="15"/>
        <v>1.0999999999999899E-4</v>
      </c>
      <c r="AJ18" s="15">
        <f t="shared" si="16"/>
        <v>1.9999999999992246E-5</v>
      </c>
      <c r="AK18" s="15">
        <f t="shared" si="17"/>
        <v>-8.0000000000024496E-5</v>
      </c>
      <c r="AL18" s="15">
        <f t="shared" si="18"/>
        <v>0</v>
      </c>
      <c r="AM18" s="15">
        <f t="shared" si="19"/>
        <v>-1.9999999999992246E-5</v>
      </c>
      <c r="AN18" s="15">
        <f t="shared" si="20"/>
        <v>-8.0000000000024496E-5</v>
      </c>
      <c r="AO18" s="15">
        <f t="shared" si="21"/>
        <v>-1.0000000000001674E-4</v>
      </c>
      <c r="AP18" s="15">
        <f t="shared" si="22"/>
        <v>2.0000000000000573E-4</v>
      </c>
      <c r="AQ18" s="15">
        <f t="shared" si="23"/>
        <v>1.2000000000000899E-4</v>
      </c>
      <c r="AR18" s="15">
        <f t="shared" si="24"/>
        <v>1.5000000000001124E-4</v>
      </c>
      <c r="AS18" s="15">
        <f t="shared" si="25"/>
        <v>2.8000000000000247E-4</v>
      </c>
      <c r="AT18" s="15">
        <f t="shared" si="26"/>
        <v>9.0000000000006741E-5</v>
      </c>
      <c r="AU18" s="15">
        <f t="shared" si="27"/>
        <v>1.0000000000010001E-5</v>
      </c>
      <c r="AV18" s="15">
        <f t="shared" si="28"/>
        <v>4.0000000000012248E-5</v>
      </c>
      <c r="BE18" s="15">
        <v>0.18246999999999999</v>
      </c>
      <c r="BF18" s="15">
        <f t="shared" si="35"/>
        <v>2.9830999999999999</v>
      </c>
      <c r="BG18" s="15">
        <v>0.18251999999999999</v>
      </c>
      <c r="BH18" s="15">
        <f t="shared" si="29"/>
        <v>2.98305</v>
      </c>
      <c r="BJ18" s="15">
        <f t="shared" si="1"/>
        <v>-1.1999999999998123E-4</v>
      </c>
      <c r="BK18" s="15">
        <f t="shared" si="30"/>
        <v>-1.6999999999997573E-4</v>
      </c>
    </row>
    <row r="19" spans="1:63" x14ac:dyDescent="0.2">
      <c r="A19" s="17" t="s">
        <v>24</v>
      </c>
      <c r="B19" s="31">
        <v>0.152</v>
      </c>
      <c r="C19" s="15">
        <f t="shared" si="2"/>
        <v>3.1349100000000005</v>
      </c>
      <c r="D19" s="31">
        <v>0.15201999999999999</v>
      </c>
      <c r="E19" s="15">
        <f t="shared" si="3"/>
        <v>3.1349299999999993</v>
      </c>
      <c r="F19" s="15">
        <v>0.15192</v>
      </c>
      <c r="G19" s="15">
        <f t="shared" si="4"/>
        <v>3.1348100000000003</v>
      </c>
      <c r="H19" s="15">
        <v>0.15196999999999999</v>
      </c>
      <c r="I19" s="15">
        <f t="shared" si="5"/>
        <v>3.1344599999999998</v>
      </c>
      <c r="J19" s="31">
        <v>0.15196999999999999</v>
      </c>
      <c r="K19" s="15">
        <f t="shared" si="5"/>
        <v>3.1344699999999999</v>
      </c>
      <c r="L19" s="15">
        <v>0.15195</v>
      </c>
      <c r="M19" s="15">
        <f t="shared" si="5"/>
        <v>3.1344899999999991</v>
      </c>
      <c r="N19" s="15">
        <v>0.15198</v>
      </c>
      <c r="O19" s="15">
        <f t="shared" si="31"/>
        <v>3.13435</v>
      </c>
      <c r="P19" s="15">
        <v>0.15209</v>
      </c>
      <c r="Q19" s="15">
        <f t="shared" si="32"/>
        <v>3.1348400000000001</v>
      </c>
      <c r="R19" s="15">
        <v>0.15207000000000001</v>
      </c>
      <c r="S19" s="15">
        <f t="shared" si="32"/>
        <v>3.1349100000000005</v>
      </c>
      <c r="T19" s="15">
        <v>0.15193000000000001</v>
      </c>
      <c r="U19">
        <f t="shared" si="33"/>
        <v>3.1345200000000002</v>
      </c>
      <c r="V19" s="15">
        <v>0.15204000000000001</v>
      </c>
      <c r="W19">
        <f t="shared" si="34"/>
        <v>3.1347999999999998</v>
      </c>
      <c r="X19" s="15">
        <f t="shared" si="6"/>
        <v>-1.9999999999242846E-5</v>
      </c>
      <c r="Y19" s="15">
        <f t="shared" si="7"/>
        <v>1.3999999999914081E-4</v>
      </c>
      <c r="Z19" s="15">
        <f t="shared" si="8"/>
        <v>1.1999999999989797E-4</v>
      </c>
      <c r="AA19" s="15"/>
      <c r="AB19" s="15">
        <f t="shared" si="9"/>
        <v>1.9999999999992246E-5</v>
      </c>
      <c r="AC19" s="15">
        <f t="shared" si="10"/>
        <v>-3.0000000000002247E-5</v>
      </c>
      <c r="AD19" s="15">
        <f t="shared" si="11"/>
        <v>-1.0000000000010001E-5</v>
      </c>
      <c r="AE19" s="15">
        <f t="shared" si="12"/>
        <v>4.9999999999994493E-5</v>
      </c>
      <c r="AF19" s="15">
        <f t="shared" si="0"/>
        <v>6.9999999999986739E-5</v>
      </c>
      <c r="AG19" s="15">
        <f t="shared" si="13"/>
        <v>3.0000000000002247E-5</v>
      </c>
      <c r="AH19" s="15">
        <f t="shared" si="14"/>
        <v>4.9999999999994493E-5</v>
      </c>
      <c r="AI19" s="15">
        <f t="shared" si="15"/>
        <v>-4.9999999999994493E-5</v>
      </c>
      <c r="AJ19" s="15">
        <f t="shared" si="16"/>
        <v>0</v>
      </c>
      <c r="AK19" s="15">
        <f t="shared" si="17"/>
        <v>-1.9999999999992246E-5</v>
      </c>
      <c r="AL19" s="15">
        <f t="shared" si="18"/>
        <v>1.0000000000010001E-5</v>
      </c>
      <c r="AM19" s="15">
        <f t="shared" si="19"/>
        <v>-1.9999999999992246E-5</v>
      </c>
      <c r="AN19" s="15">
        <f t="shared" si="20"/>
        <v>9.9999999999988987E-5</v>
      </c>
      <c r="AO19" s="15">
        <f t="shared" si="21"/>
        <v>7.999999999999674E-5</v>
      </c>
      <c r="AP19" s="15">
        <f t="shared" si="22"/>
        <v>-1.5000000000001124E-4</v>
      </c>
      <c r="AQ19" s="15">
        <f t="shared" si="23"/>
        <v>-1.0000000000010001E-5</v>
      </c>
      <c r="AR19" s="15">
        <f t="shared" si="24"/>
        <v>-1.2000000000000899E-4</v>
      </c>
      <c r="AS19" s="15">
        <f t="shared" si="25"/>
        <v>-1.7000000000000348E-4</v>
      </c>
      <c r="AT19" s="15">
        <f t="shared" si="26"/>
        <v>-1.0000000000001674E-4</v>
      </c>
      <c r="AU19" s="15">
        <f t="shared" si="27"/>
        <v>3.9999999999984492E-5</v>
      </c>
      <c r="AV19" s="15">
        <f t="shared" si="28"/>
        <v>-7.0000000000014495E-5</v>
      </c>
      <c r="BE19" s="15">
        <v>0.152</v>
      </c>
      <c r="BF19" s="15">
        <f t="shared" si="35"/>
        <v>3.1351</v>
      </c>
      <c r="BG19" s="15">
        <v>0.15243999999999999</v>
      </c>
      <c r="BH19" s="15">
        <f t="shared" si="29"/>
        <v>3.1354899999999999</v>
      </c>
      <c r="BJ19" s="15">
        <f t="shared" si="1"/>
        <v>-7.999999999999674E-5</v>
      </c>
      <c r="BK19" s="15">
        <f t="shared" si="30"/>
        <v>-5.1999999999999269E-4</v>
      </c>
    </row>
    <row r="20" spans="1:63" x14ac:dyDescent="0.2">
      <c r="A20" s="17" t="s">
        <v>25</v>
      </c>
      <c r="B20" s="31">
        <v>0.15334999999999999</v>
      </c>
      <c r="C20" s="15">
        <f t="shared" si="2"/>
        <v>3.2882600000000006</v>
      </c>
      <c r="D20" s="31">
        <v>0.15332000000000001</v>
      </c>
      <c r="E20" s="15">
        <f t="shared" si="3"/>
        <v>3.2882499999999992</v>
      </c>
      <c r="F20" s="15">
        <v>0.15337000000000001</v>
      </c>
      <c r="G20" s="15">
        <f t="shared" si="4"/>
        <v>3.2881800000000005</v>
      </c>
      <c r="H20" s="15">
        <v>0.15231</v>
      </c>
      <c r="I20" s="15">
        <f t="shared" si="5"/>
        <v>3.2867699999999997</v>
      </c>
      <c r="J20" s="31">
        <v>0.15229999999999999</v>
      </c>
      <c r="K20" s="15">
        <f t="shared" si="5"/>
        <v>3.2867699999999997</v>
      </c>
      <c r="L20" s="15">
        <v>0.15229000000000001</v>
      </c>
      <c r="M20" s="15">
        <f t="shared" si="5"/>
        <v>3.2867799999999989</v>
      </c>
      <c r="N20" s="15">
        <v>0.15235000000000001</v>
      </c>
      <c r="O20" s="15">
        <f t="shared" si="31"/>
        <v>3.2867000000000002</v>
      </c>
      <c r="P20" s="15">
        <v>0.15239</v>
      </c>
      <c r="Q20" s="15">
        <f t="shared" si="32"/>
        <v>3.2872300000000001</v>
      </c>
      <c r="R20" s="15">
        <v>0.15239</v>
      </c>
      <c r="S20" s="15">
        <f t="shared" si="32"/>
        <v>3.2873000000000006</v>
      </c>
      <c r="T20" s="15">
        <v>0.15229999999999999</v>
      </c>
      <c r="U20">
        <f t="shared" si="33"/>
        <v>3.2868200000000001</v>
      </c>
      <c r="V20" s="15">
        <v>0.15236</v>
      </c>
      <c r="W20">
        <f t="shared" si="34"/>
        <v>3.2871599999999996</v>
      </c>
      <c r="X20" s="15">
        <f t="shared" si="6"/>
        <v>-9.9999999991773336E-6</v>
      </c>
      <c r="Y20" s="15">
        <f t="shared" si="7"/>
        <v>7.9999999998747739E-5</v>
      </c>
      <c r="Z20" s="15">
        <f t="shared" si="8"/>
        <v>6.9999999999570406E-5</v>
      </c>
      <c r="AA20" s="15"/>
      <c r="AB20" s="15">
        <f t="shared" si="9"/>
        <v>9.9999999999822453E-6</v>
      </c>
      <c r="AC20" s="15">
        <f t="shared" si="10"/>
        <v>-6.0000000000004494E-5</v>
      </c>
      <c r="AD20" s="15">
        <f t="shared" si="11"/>
        <v>-5.0000000000022249E-5</v>
      </c>
      <c r="AE20" s="15">
        <f t="shared" si="12"/>
        <v>1.0200000000000209E-3</v>
      </c>
      <c r="AF20" s="15">
        <f t="shared" si="0"/>
        <v>1.0300000000000031E-3</v>
      </c>
      <c r="AG20" s="15">
        <f t="shared" si="13"/>
        <v>1.0399999999999854E-3</v>
      </c>
      <c r="AH20" s="15">
        <f t="shared" si="14"/>
        <v>1.0100000000000109E-3</v>
      </c>
      <c r="AI20" s="15">
        <f t="shared" si="15"/>
        <v>1.0600000000000054E-3</v>
      </c>
      <c r="AJ20" s="15">
        <f t="shared" si="16"/>
        <v>-1.0000000000010001E-5</v>
      </c>
      <c r="AK20" s="15">
        <f t="shared" si="17"/>
        <v>-1.9999999999992246E-5</v>
      </c>
      <c r="AL20" s="15">
        <f t="shared" si="18"/>
        <v>4.0000000000012248E-5</v>
      </c>
      <c r="AM20" s="15">
        <f t="shared" si="19"/>
        <v>2.9999999999974492E-5</v>
      </c>
      <c r="AN20" s="15">
        <f t="shared" si="20"/>
        <v>-4.9999999999994493E-5</v>
      </c>
      <c r="AO20" s="15">
        <f t="shared" si="21"/>
        <v>-2.0000000000020002E-5</v>
      </c>
      <c r="AP20" s="15">
        <f t="shared" si="22"/>
        <v>9.8000000000000864E-4</v>
      </c>
      <c r="AQ20" s="15">
        <f t="shared" si="23"/>
        <v>1.0700000000000154E-3</v>
      </c>
      <c r="AR20" s="15">
        <f t="shared" si="24"/>
        <v>1.0100000000000109E-3</v>
      </c>
      <c r="AS20" s="15">
        <f t="shared" si="25"/>
        <v>9.8000000000000864E-4</v>
      </c>
      <c r="AT20" s="15">
        <f t="shared" si="26"/>
        <v>-7.999999999999674E-5</v>
      </c>
      <c r="AU20" s="15">
        <f t="shared" si="27"/>
        <v>1.0000000000010001E-5</v>
      </c>
      <c r="AV20" s="15">
        <f t="shared" si="28"/>
        <v>-4.9999999999994493E-5</v>
      </c>
      <c r="BE20" s="15">
        <v>0.15245</v>
      </c>
      <c r="BF20" s="15">
        <f t="shared" si="35"/>
        <v>3.28755</v>
      </c>
      <c r="BG20" s="15">
        <v>0.15246999999999999</v>
      </c>
      <c r="BH20" s="15">
        <f t="shared" si="29"/>
        <v>3.28796</v>
      </c>
      <c r="BJ20" s="15">
        <f t="shared" si="1"/>
        <v>9.2000000000000415E-4</v>
      </c>
      <c r="BK20" s="15">
        <f t="shared" si="30"/>
        <v>9.000000000000119E-4</v>
      </c>
    </row>
    <row r="21" spans="1:63" x14ac:dyDescent="0.2">
      <c r="A21" s="17" t="s">
        <v>26</v>
      </c>
      <c r="B21" s="31">
        <v>0.15715999999999999</v>
      </c>
      <c r="C21" s="15">
        <f t="shared" si="2"/>
        <v>3.4454200000000008</v>
      </c>
      <c r="D21" s="31">
        <v>0.15720999999999999</v>
      </c>
      <c r="E21" s="15">
        <f t="shared" si="3"/>
        <v>3.4454599999999993</v>
      </c>
      <c r="F21" s="15">
        <v>0.15719</v>
      </c>
      <c r="G21" s="15">
        <f t="shared" si="4"/>
        <v>3.4453700000000005</v>
      </c>
      <c r="H21" s="15">
        <v>0.15809000000000001</v>
      </c>
      <c r="I21" s="15">
        <f t="shared" ref="I21:M22" si="36">I20+H21</f>
        <v>3.4448599999999998</v>
      </c>
      <c r="J21" s="31">
        <v>0.15806000000000001</v>
      </c>
      <c r="K21" s="15">
        <f t="shared" si="36"/>
        <v>3.4448299999999996</v>
      </c>
      <c r="L21" s="15">
        <v>0.15815000000000001</v>
      </c>
      <c r="M21" s="15">
        <f t="shared" si="36"/>
        <v>3.4449299999999989</v>
      </c>
      <c r="N21" s="15">
        <v>0.15806999999999999</v>
      </c>
      <c r="O21" s="15">
        <f t="shared" si="31"/>
        <v>3.4447700000000001</v>
      </c>
      <c r="P21" s="15">
        <v>0.15809999999999999</v>
      </c>
      <c r="Q21" s="15">
        <f t="shared" si="32"/>
        <v>3.4453300000000002</v>
      </c>
      <c r="R21" s="15">
        <v>0.15812000000000001</v>
      </c>
      <c r="S21" s="15">
        <f t="shared" si="32"/>
        <v>3.4454200000000004</v>
      </c>
      <c r="T21" s="15">
        <v>0.15811</v>
      </c>
      <c r="U21">
        <f t="shared" si="33"/>
        <v>3.4449300000000003</v>
      </c>
      <c r="V21" s="15">
        <v>0.15806999999999999</v>
      </c>
      <c r="W21">
        <f t="shared" si="34"/>
        <v>3.4452299999999996</v>
      </c>
      <c r="X21" s="15">
        <f t="shared" si="6"/>
        <v>-9.9999999999322853E-5</v>
      </c>
      <c r="Y21" s="15">
        <f t="shared" si="7"/>
        <v>1.5999999999882775E-4</v>
      </c>
      <c r="Z21" s="15">
        <f t="shared" si="8"/>
        <v>5.9999999999504894E-5</v>
      </c>
      <c r="AA21" s="15"/>
      <c r="AB21" s="15">
        <f t="shared" si="9"/>
        <v>-9.0000000000006741E-5</v>
      </c>
      <c r="AC21" s="15">
        <f t="shared" si="10"/>
        <v>8.0000000000024496E-5</v>
      </c>
      <c r="AD21" s="15">
        <f t="shared" si="11"/>
        <v>-9.9999999999822453E-6</v>
      </c>
      <c r="AE21" s="15">
        <f t="shared" si="12"/>
        <v>-8.5000000000001741E-4</v>
      </c>
      <c r="AF21" s="15">
        <f t="shared" si="0"/>
        <v>-9.4000000000002415E-4</v>
      </c>
      <c r="AG21" s="15">
        <f t="shared" si="13"/>
        <v>-9.3000000000001415E-4</v>
      </c>
      <c r="AH21" s="15">
        <f t="shared" si="14"/>
        <v>-8.8000000000001966E-4</v>
      </c>
      <c r="AI21" s="15">
        <f t="shared" si="15"/>
        <v>-9.000000000000119E-4</v>
      </c>
      <c r="AJ21" s="15">
        <f t="shared" si="16"/>
        <v>-3.0000000000002247E-5</v>
      </c>
      <c r="AK21" s="15">
        <f t="shared" si="17"/>
        <v>6.0000000000004494E-5</v>
      </c>
      <c r="AL21" s="15">
        <f t="shared" si="18"/>
        <v>-2.0000000000020002E-5</v>
      </c>
      <c r="AM21" s="15">
        <f t="shared" si="19"/>
        <v>-4.9999999999994493E-5</v>
      </c>
      <c r="AN21" s="15">
        <f t="shared" si="20"/>
        <v>1.9999999999992246E-5</v>
      </c>
      <c r="AO21" s="15">
        <f t="shared" si="21"/>
        <v>-3.0000000000002247E-5</v>
      </c>
      <c r="AP21" s="15">
        <f t="shared" si="22"/>
        <v>-9.3000000000001415E-4</v>
      </c>
      <c r="AQ21" s="15">
        <f t="shared" si="23"/>
        <v>-9.2000000000000415E-4</v>
      </c>
      <c r="AR21" s="15">
        <f t="shared" si="24"/>
        <v>-8.799999999999919E-4</v>
      </c>
      <c r="AS21" s="15">
        <f t="shared" si="25"/>
        <v>-9.0999999999999415E-4</v>
      </c>
      <c r="AT21" s="15">
        <f t="shared" si="26"/>
        <v>-3.0000000000002247E-5</v>
      </c>
      <c r="AU21" s="15">
        <f t="shared" si="27"/>
        <v>-1.9999999999992246E-5</v>
      </c>
      <c r="AV21" s="15">
        <f t="shared" si="28"/>
        <v>2.0000000000020002E-5</v>
      </c>
      <c r="BE21" s="15">
        <v>0.15806000000000001</v>
      </c>
      <c r="BF21" s="15">
        <f t="shared" si="35"/>
        <v>3.4456099999999998</v>
      </c>
      <c r="BG21" s="15">
        <v>0.15779000000000001</v>
      </c>
      <c r="BH21" s="15">
        <f t="shared" si="29"/>
        <v>3.4457499999999999</v>
      </c>
      <c r="BJ21" s="15">
        <f t="shared" si="1"/>
        <v>-8.7000000000000965E-4</v>
      </c>
      <c r="BK21" s="15">
        <f t="shared" si="30"/>
        <v>-6.0000000000001719E-4</v>
      </c>
    </row>
    <row r="22" spans="1:63" x14ac:dyDescent="0.2">
      <c r="A22" s="17" t="s">
        <v>27</v>
      </c>
      <c r="B22" s="31">
        <v>0.14867</v>
      </c>
      <c r="C22" s="15">
        <f t="shared" si="2"/>
        <v>3.5940900000000009</v>
      </c>
      <c r="D22" s="31">
        <v>0.14868000000000001</v>
      </c>
      <c r="E22" s="15">
        <f t="shared" si="3"/>
        <v>3.5941399999999994</v>
      </c>
      <c r="F22" s="15">
        <v>0.14868000000000001</v>
      </c>
      <c r="G22" s="15">
        <f t="shared" si="4"/>
        <v>3.5940500000000006</v>
      </c>
      <c r="H22" s="15">
        <v>0.14868000000000001</v>
      </c>
      <c r="I22" s="15">
        <f t="shared" si="36"/>
        <v>3.59354</v>
      </c>
      <c r="J22" s="31">
        <v>0.1487</v>
      </c>
      <c r="K22" s="15">
        <f t="shared" si="36"/>
        <v>3.5935299999999994</v>
      </c>
      <c r="L22" s="15">
        <v>0.14860999999999999</v>
      </c>
      <c r="M22" s="15">
        <f t="shared" si="36"/>
        <v>3.5935399999999991</v>
      </c>
      <c r="N22" s="15">
        <v>0.1487</v>
      </c>
      <c r="O22" s="15">
        <f t="shared" si="31"/>
        <v>3.5934699999999999</v>
      </c>
      <c r="P22" s="15">
        <v>0.14873</v>
      </c>
      <c r="Q22" s="15">
        <f t="shared" si="32"/>
        <v>3.5940600000000003</v>
      </c>
      <c r="R22" s="15">
        <v>0.14868000000000001</v>
      </c>
      <c r="S22" s="15">
        <f t="shared" si="32"/>
        <v>3.5941000000000005</v>
      </c>
      <c r="T22" s="15">
        <v>0.14863000000000001</v>
      </c>
      <c r="U22">
        <f t="shared" si="33"/>
        <v>3.5935600000000001</v>
      </c>
      <c r="V22" s="15">
        <v>0.14879999999999999</v>
      </c>
      <c r="W22">
        <f t="shared" si="34"/>
        <v>3.5940299999999996</v>
      </c>
      <c r="X22" s="15">
        <f t="shared" si="6"/>
        <v>-9.9999999996214228E-6</v>
      </c>
      <c r="Y22" s="15">
        <f t="shared" si="7"/>
        <v>6.9999999999126317E-5</v>
      </c>
      <c r="Z22" s="15">
        <f t="shared" si="8"/>
        <v>5.9999999999504894E-5</v>
      </c>
      <c r="AA22" s="15"/>
      <c r="AB22" s="15">
        <f t="shared" si="9"/>
        <v>9.0000000000006741E-5</v>
      </c>
      <c r="AC22" s="15">
        <f t="shared" si="10"/>
        <v>-9.0000000000006741E-5</v>
      </c>
      <c r="AD22" s="15">
        <f t="shared" si="11"/>
        <v>0</v>
      </c>
      <c r="AE22" s="15">
        <f t="shared" si="12"/>
        <v>-1.9999999999992246E-5</v>
      </c>
      <c r="AF22" s="15">
        <f t="shared" si="0"/>
        <v>7.0000000000014495E-5</v>
      </c>
      <c r="AG22" s="15">
        <f t="shared" si="13"/>
        <v>-1.0000000000010001E-5</v>
      </c>
      <c r="AH22" s="15">
        <f t="shared" si="14"/>
        <v>0</v>
      </c>
      <c r="AI22" s="15">
        <f t="shared" si="15"/>
        <v>0</v>
      </c>
      <c r="AJ22" s="15">
        <f t="shared" si="16"/>
        <v>1.9999999999992246E-5</v>
      </c>
      <c r="AK22" s="15">
        <f t="shared" si="17"/>
        <v>-7.0000000000014495E-5</v>
      </c>
      <c r="AL22" s="15">
        <f t="shared" si="18"/>
        <v>1.9999999999992246E-5</v>
      </c>
      <c r="AM22" s="15">
        <f t="shared" si="19"/>
        <v>-1.0000000000010001E-5</v>
      </c>
      <c r="AN22" s="15">
        <f t="shared" si="20"/>
        <v>0</v>
      </c>
      <c r="AO22" s="15">
        <f t="shared" si="21"/>
        <v>-1.0000000000010001E-5</v>
      </c>
      <c r="AP22" s="15">
        <f t="shared" si="22"/>
        <v>0</v>
      </c>
      <c r="AQ22" s="15">
        <f t="shared" si="23"/>
        <v>4.9999999999994493E-5</v>
      </c>
      <c r="AR22" s="15">
        <f t="shared" si="24"/>
        <v>-1.1999999999998123E-4</v>
      </c>
      <c r="AS22" s="15">
        <f t="shared" si="25"/>
        <v>-4.9999999999994493E-5</v>
      </c>
      <c r="AT22" s="15">
        <f t="shared" si="26"/>
        <v>0</v>
      </c>
      <c r="AU22" s="15">
        <f t="shared" si="27"/>
        <v>4.9999999999994493E-5</v>
      </c>
      <c r="AV22" s="15">
        <f t="shared" si="28"/>
        <v>-1.1999999999998123E-4</v>
      </c>
      <c r="BE22" s="15">
        <v>0.1487</v>
      </c>
      <c r="BF22" s="15">
        <f t="shared" si="35"/>
        <v>3.5943099999999997</v>
      </c>
      <c r="BG22" s="15">
        <v>0.14860999999999999</v>
      </c>
      <c r="BH22" s="15">
        <f t="shared" si="29"/>
        <v>3.59436</v>
      </c>
      <c r="BJ22" s="15">
        <f t="shared" si="1"/>
        <v>-1.9999999999992246E-5</v>
      </c>
      <c r="BK22" s="15">
        <f t="shared" si="30"/>
        <v>7.0000000000014495E-5</v>
      </c>
    </row>
    <row r="23" spans="1:63" x14ac:dyDescent="0.2">
      <c r="A23" s="17" t="s">
        <v>28</v>
      </c>
      <c r="B23" s="31">
        <v>0.20965</v>
      </c>
      <c r="C23" s="15">
        <f t="shared" si="2"/>
        <v>3.8037400000000008</v>
      </c>
      <c r="D23" s="31">
        <v>0.20967</v>
      </c>
      <c r="E23" s="15">
        <f>E22+D23</f>
        <v>3.8038099999999995</v>
      </c>
      <c r="F23" s="15">
        <v>0.2097</v>
      </c>
      <c r="G23" s="15">
        <f t="shared" si="4"/>
        <v>3.8037500000000009</v>
      </c>
      <c r="H23" s="15">
        <v>0.20963000000000001</v>
      </c>
      <c r="I23" s="15">
        <f>I22+H23</f>
        <v>3.8031700000000002</v>
      </c>
      <c r="J23" s="31">
        <v>0.20960999999999999</v>
      </c>
      <c r="K23" s="15">
        <f>K22+J23</f>
        <v>3.8031399999999995</v>
      </c>
      <c r="L23" s="15">
        <v>0.20971000000000001</v>
      </c>
      <c r="M23" s="15">
        <f>M22+L23</f>
        <v>3.8032499999999989</v>
      </c>
      <c r="N23" s="15">
        <v>0.20957999999999999</v>
      </c>
      <c r="O23" s="15">
        <f>O22+N23</f>
        <v>3.8030499999999998</v>
      </c>
      <c r="P23" s="15">
        <v>0.20966000000000001</v>
      </c>
      <c r="Q23" s="15">
        <f t="shared" si="32"/>
        <v>3.8037200000000002</v>
      </c>
      <c r="R23" s="15">
        <v>0.20968000000000001</v>
      </c>
      <c r="S23" s="15">
        <f t="shared" si="32"/>
        <v>3.8037800000000006</v>
      </c>
      <c r="T23" s="15">
        <v>0.20957999999999999</v>
      </c>
      <c r="U23">
        <f t="shared" si="33"/>
        <v>3.80314</v>
      </c>
      <c r="V23" s="15">
        <v>0.20967</v>
      </c>
      <c r="W23">
        <f t="shared" si="34"/>
        <v>3.8036999999999996</v>
      </c>
      <c r="X23" s="15">
        <f t="shared" si="6"/>
        <v>-1.0999999999938836E-4</v>
      </c>
      <c r="Y23" s="15">
        <f t="shared" si="7"/>
        <v>1.9999999999908979E-4</v>
      </c>
      <c r="Z23" s="15">
        <f t="shared" si="8"/>
        <v>8.999999999970143E-5</v>
      </c>
      <c r="AA23" s="15"/>
      <c r="AB23" s="15">
        <f t="shared" si="9"/>
        <v>-1.0000000000001674E-4</v>
      </c>
      <c r="AC23" s="15">
        <f t="shared" si="10"/>
        <v>1.3000000000001899E-4</v>
      </c>
      <c r="AD23" s="15">
        <f t="shared" si="11"/>
        <v>3.0000000000002247E-5</v>
      </c>
      <c r="AE23" s="15">
        <f t="shared" si="12"/>
        <v>6.0000000000004494E-5</v>
      </c>
      <c r="AF23" s="15">
        <f t="shared" si="0"/>
        <v>-4.0000000000012248E-5</v>
      </c>
      <c r="AG23" s="15">
        <f t="shared" si="13"/>
        <v>1.9999999999992246E-5</v>
      </c>
      <c r="AH23" s="15">
        <f t="shared" si="14"/>
        <v>3.9999999999984492E-5</v>
      </c>
      <c r="AI23" s="15">
        <f t="shared" si="15"/>
        <v>6.9999999999986739E-5</v>
      </c>
      <c r="AJ23" s="15">
        <f t="shared" si="16"/>
        <v>-2.0000000000020002E-5</v>
      </c>
      <c r="AK23" s="15">
        <f t="shared" si="17"/>
        <v>7.999999999999674E-5</v>
      </c>
      <c r="AL23" s="15">
        <f t="shared" si="18"/>
        <v>-5.0000000000022249E-5</v>
      </c>
      <c r="AM23" s="15">
        <f t="shared" si="19"/>
        <v>-1.9999999999992246E-5</v>
      </c>
      <c r="AN23" s="15">
        <f t="shared" si="20"/>
        <v>-3.0000000000002247E-5</v>
      </c>
      <c r="AO23" s="15">
        <f t="shared" si="21"/>
        <v>-4.9999999999994493E-5</v>
      </c>
      <c r="AP23" s="15">
        <f t="shared" si="22"/>
        <v>1.9999999999992246E-5</v>
      </c>
      <c r="AQ23" s="15">
        <f t="shared" si="23"/>
        <v>1.2000000000000899E-4</v>
      </c>
      <c r="AR23" s="15">
        <f t="shared" si="24"/>
        <v>3.0000000000002247E-5</v>
      </c>
      <c r="AS23" s="15">
        <f t="shared" si="25"/>
        <v>3.9999999999984492E-5</v>
      </c>
      <c r="AT23" s="15">
        <f t="shared" si="26"/>
        <v>-4.9999999999994493E-5</v>
      </c>
      <c r="AU23" s="15">
        <f t="shared" si="27"/>
        <v>5.0000000000022249E-5</v>
      </c>
      <c r="AV23" s="15">
        <f t="shared" si="28"/>
        <v>-3.9999999999984492E-5</v>
      </c>
      <c r="BE23" s="15">
        <v>0.20987</v>
      </c>
      <c r="BF23" s="15">
        <f t="shared" si="35"/>
        <v>3.8041799999999997</v>
      </c>
      <c r="BG23" s="15">
        <v>0.21002999999999999</v>
      </c>
      <c r="BH23" s="15">
        <f t="shared" si="29"/>
        <v>3.8043900000000002</v>
      </c>
      <c r="BJ23" s="15">
        <f t="shared" si="1"/>
        <v>-1.7000000000000348E-4</v>
      </c>
      <c r="BK23" s="15">
        <f t="shared" si="30"/>
        <v>-3.2999999999999696E-4</v>
      </c>
    </row>
    <row r="24" spans="1:63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6" spans="1:63" x14ac:dyDescent="0.2">
      <c r="K26" t="s">
        <v>153</v>
      </c>
      <c r="L26" s="15">
        <v>3.8031700000000002</v>
      </c>
    </row>
  </sheetData>
  <pageMargins left="0.7" right="0.7" top="0.75" bottom="0.75" header="0.3" footer="0.3"/>
  <pageSetup orientation="portrait" r:id="rId1"/>
  <ignoredErrors>
    <ignoredError sqref="H4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7"/>
  <sheetViews>
    <sheetView workbookViewId="0">
      <selection activeCell="R17" sqref="R17"/>
    </sheetView>
  </sheetViews>
  <sheetFormatPr defaultRowHeight="15" x14ac:dyDescent="0.2"/>
  <sheetData>
    <row r="2" spans="1:2" x14ac:dyDescent="0.2">
      <c r="A2" t="s">
        <v>144</v>
      </c>
      <c r="B2">
        <v>-3.8037399999999999</v>
      </c>
    </row>
    <row r="3" spans="1:2" x14ac:dyDescent="0.2">
      <c r="A3" t="s">
        <v>143</v>
      </c>
      <c r="B3">
        <v>-3.8038099999999999</v>
      </c>
    </row>
    <row r="4" spans="1:2" x14ac:dyDescent="0.2">
      <c r="A4" t="s">
        <v>37</v>
      </c>
      <c r="B4">
        <v>-3.80375</v>
      </c>
    </row>
    <row r="5" spans="1:2" x14ac:dyDescent="0.2">
      <c r="A5" t="s">
        <v>153</v>
      </c>
      <c r="B5">
        <v>-3.8031700000000002</v>
      </c>
    </row>
    <row r="6" spans="1:2" x14ac:dyDescent="0.2">
      <c r="A6" t="s">
        <v>88</v>
      </c>
      <c r="B6">
        <v>-3.80314</v>
      </c>
    </row>
    <row r="7" spans="1:2" x14ac:dyDescent="0.2">
      <c r="A7" t="s">
        <v>87</v>
      </c>
      <c r="B7">
        <v>-3.8032499999999998</v>
      </c>
    </row>
    <row r="8" spans="1:2" x14ac:dyDescent="0.2">
      <c r="A8" t="s">
        <v>84</v>
      </c>
      <c r="B8">
        <v>-3.8030499999999998</v>
      </c>
    </row>
    <row r="9" spans="1:2" x14ac:dyDescent="0.2">
      <c r="A9" t="s">
        <v>187</v>
      </c>
      <c r="B9">
        <v>-3.8037800000000002</v>
      </c>
    </row>
    <row r="10" spans="1:2" x14ac:dyDescent="0.2">
      <c r="A10" t="s">
        <v>112</v>
      </c>
      <c r="B10">
        <v>-3.8037200000000002</v>
      </c>
    </row>
    <row r="11" spans="1:2" x14ac:dyDescent="0.2">
      <c r="A11" t="s">
        <v>111</v>
      </c>
      <c r="B11">
        <v>-3.8037200000000002</v>
      </c>
    </row>
    <row r="12" spans="1:2" x14ac:dyDescent="0.2">
      <c r="A12" t="s">
        <v>110</v>
      </c>
      <c r="B12">
        <v>-3.8036599999999998</v>
      </c>
    </row>
    <row r="13" spans="1:2" x14ac:dyDescent="0.2">
      <c r="A13" t="s">
        <v>188</v>
      </c>
      <c r="B13">
        <v>-3.80314</v>
      </c>
    </row>
    <row r="14" spans="1:2" x14ac:dyDescent="0.2">
      <c r="A14" t="s">
        <v>120</v>
      </c>
      <c r="B14">
        <v>-3.8031100000000002</v>
      </c>
    </row>
    <row r="15" spans="1:2" x14ac:dyDescent="0.2">
      <c r="A15" t="s">
        <v>119</v>
      </c>
      <c r="B15">
        <v>-3.80315</v>
      </c>
    </row>
    <row r="16" spans="1:2" x14ac:dyDescent="0.2">
      <c r="A16" t="s">
        <v>118</v>
      </c>
      <c r="B16">
        <v>-3.8030499999999998</v>
      </c>
    </row>
    <row r="17" spans="1:2" x14ac:dyDescent="0.2">
      <c r="A17" t="s">
        <v>189</v>
      </c>
      <c r="B17">
        <v>-3.8037000000000001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="68" zoomScaleNormal="68" workbookViewId="0">
      <selection activeCell="O27" sqref="O27"/>
    </sheetView>
  </sheetViews>
  <sheetFormatPr defaultRowHeight="1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E7BA-2AAE-4203-B554-5916752E171F}">
  <sheetPr codeName="Sheet11"/>
  <dimension ref="A1:AC83"/>
  <sheetViews>
    <sheetView topLeftCell="A52" zoomScale="80" zoomScaleNormal="80" workbookViewId="0">
      <selection activeCell="X80" sqref="X80"/>
    </sheetView>
  </sheetViews>
  <sheetFormatPr defaultRowHeight="15" x14ac:dyDescent="0.2"/>
  <cols>
    <col min="3" max="4" width="9.88671875" bestFit="1" customWidth="1"/>
    <col min="6" max="6" width="9.6640625" bestFit="1" customWidth="1"/>
    <col min="7" max="7" width="10.109375" customWidth="1"/>
    <col min="12" max="12" width="10" bestFit="1" customWidth="1"/>
    <col min="13" max="13" width="10.44140625" bestFit="1" customWidth="1"/>
    <col min="14" max="14" width="10" bestFit="1" customWidth="1"/>
    <col min="15" max="19" width="10" customWidth="1"/>
  </cols>
  <sheetData>
    <row r="1" spans="1:20" ht="15.75" x14ac:dyDescent="0.25">
      <c r="A1" s="12" t="s">
        <v>226</v>
      </c>
      <c r="G1" t="s">
        <v>240</v>
      </c>
      <c r="H1" t="s">
        <v>241</v>
      </c>
      <c r="L1" s="12" t="s">
        <v>227</v>
      </c>
      <c r="P1" s="12" t="s">
        <v>249</v>
      </c>
    </row>
    <row r="2" spans="1:20" x14ac:dyDescent="0.2">
      <c r="A2" s="52">
        <v>28.4</v>
      </c>
      <c r="B2" s="53">
        <v>43809</v>
      </c>
      <c r="C2" s="81">
        <f>D2</f>
        <v>43809</v>
      </c>
      <c r="D2" s="94">
        <v>43809</v>
      </c>
      <c r="E2" s="54" t="s">
        <v>225</v>
      </c>
      <c r="F2" s="55">
        <v>3.8036699999999999</v>
      </c>
      <c r="G2" s="55">
        <v>6.9999999999970086E-4</v>
      </c>
      <c r="H2" s="55">
        <f>F2-$F$32</f>
        <v>2.3037037037010322E-4</v>
      </c>
      <c r="I2" s="56">
        <v>27.95</v>
      </c>
      <c r="J2" s="57">
        <v>28.85</v>
      </c>
      <c r="K2" s="35"/>
      <c r="L2" s="73">
        <v>43800</v>
      </c>
      <c r="M2" s="54">
        <v>3.8036699999999999</v>
      </c>
      <c r="N2" s="74">
        <f t="shared" ref="N2:N21" si="0">M2-AVERAGE($M$2:$M$21)</f>
        <v>2.4450000000042493E-4</v>
      </c>
      <c r="O2" s="92"/>
      <c r="P2" s="73">
        <v>43800</v>
      </c>
      <c r="Q2" s="54">
        <v>3.8036699999999999</v>
      </c>
      <c r="R2" s="74">
        <f t="shared" ref="R2:R21" si="1">Q2-AVERAGE($M$2:$M$21)</f>
        <v>2.4450000000042493E-4</v>
      </c>
      <c r="S2" s="91"/>
      <c r="T2" s="19"/>
    </row>
    <row r="3" spans="1:20" x14ac:dyDescent="0.2">
      <c r="A3" s="58">
        <v>20.975000000000001</v>
      </c>
      <c r="B3" s="59">
        <v>43790</v>
      </c>
      <c r="C3" s="82">
        <f t="shared" ref="C3:C28" si="2">D3</f>
        <v>43790</v>
      </c>
      <c r="D3" s="95">
        <v>43790</v>
      </c>
      <c r="E3" s="60" t="s">
        <v>224</v>
      </c>
      <c r="F3" s="61">
        <v>3.8035899999999998</v>
      </c>
      <c r="G3" s="61">
        <v>6.1999999999962085E-4</v>
      </c>
      <c r="H3" s="61">
        <f t="shared" ref="H3:H28" si="3">F3-$F$32</f>
        <v>1.5037037037002321E-4</v>
      </c>
      <c r="I3" s="62">
        <v>20.5</v>
      </c>
      <c r="J3" s="63">
        <v>21.450000000000003</v>
      </c>
      <c r="K3" s="35"/>
      <c r="L3" s="75">
        <v>43770</v>
      </c>
      <c r="M3" s="60">
        <v>3.8035899999999998</v>
      </c>
      <c r="N3" s="76">
        <f t="shared" si="0"/>
        <v>1.6450000000034493E-4</v>
      </c>
      <c r="O3" s="93"/>
      <c r="P3" s="75">
        <v>43770</v>
      </c>
      <c r="Q3" s="60">
        <v>3.8035899999999998</v>
      </c>
      <c r="R3" s="76">
        <f t="shared" si="1"/>
        <v>1.6450000000034493E-4</v>
      </c>
      <c r="S3" s="91"/>
      <c r="T3" s="19"/>
    </row>
    <row r="4" spans="1:20" x14ac:dyDescent="0.2">
      <c r="A4" s="58">
        <v>19.175000000000001</v>
      </c>
      <c r="B4" s="59">
        <v>43762</v>
      </c>
      <c r="C4" s="82">
        <f t="shared" si="2"/>
        <v>43762</v>
      </c>
      <c r="D4" s="95">
        <v>43762</v>
      </c>
      <c r="E4" s="60" t="s">
        <v>223</v>
      </c>
      <c r="F4" s="61">
        <v>3.8033199999999998</v>
      </c>
      <c r="G4" s="61">
        <v>3.4999999999962839E-4</v>
      </c>
      <c r="H4" s="61">
        <f t="shared" si="3"/>
        <v>-1.1962962962996926E-4</v>
      </c>
      <c r="I4" s="62">
        <v>19.25</v>
      </c>
      <c r="J4" s="63">
        <v>19.100000000000001</v>
      </c>
      <c r="K4" s="35"/>
      <c r="L4" s="75">
        <v>43739</v>
      </c>
      <c r="M4" s="60">
        <v>3.8033199999999998</v>
      </c>
      <c r="N4" s="76">
        <f t="shared" si="0"/>
        <v>-1.0549999999964754E-4</v>
      </c>
      <c r="O4" s="93"/>
      <c r="P4" s="75">
        <v>43739</v>
      </c>
      <c r="Q4" s="60">
        <v>3.8033199999999998</v>
      </c>
      <c r="R4" s="76">
        <f t="shared" si="1"/>
        <v>-1.0549999999964754E-4</v>
      </c>
      <c r="S4" s="91"/>
      <c r="T4" s="19"/>
    </row>
    <row r="5" spans="1:20" x14ac:dyDescent="0.2">
      <c r="A5" s="58">
        <v>19.524999999999999</v>
      </c>
      <c r="B5" s="59">
        <v>43719</v>
      </c>
      <c r="C5" s="82">
        <f t="shared" si="2"/>
        <v>43719</v>
      </c>
      <c r="D5" s="95">
        <v>43719</v>
      </c>
      <c r="E5" s="60" t="s">
        <v>222</v>
      </c>
      <c r="F5" s="61">
        <v>3.8031899999999998</v>
      </c>
      <c r="G5" s="61">
        <v>2.1999999999966491E-4</v>
      </c>
      <c r="H5" s="61">
        <f t="shared" si="3"/>
        <v>-2.4962962962993274E-4</v>
      </c>
      <c r="I5" s="62">
        <v>19.399999999999999</v>
      </c>
      <c r="J5" s="63">
        <v>19.649999999999999</v>
      </c>
      <c r="K5" s="35"/>
      <c r="L5" s="75">
        <v>43709</v>
      </c>
      <c r="M5" s="60">
        <v>3.8031899999999998</v>
      </c>
      <c r="N5" s="76">
        <f t="shared" si="0"/>
        <v>-2.3549999999961102E-4</v>
      </c>
      <c r="O5" s="93"/>
      <c r="P5" s="75">
        <v>43709</v>
      </c>
      <c r="Q5" s="60">
        <v>3.8031899999999998</v>
      </c>
      <c r="R5" s="76">
        <f t="shared" si="1"/>
        <v>-2.3549999999961102E-4</v>
      </c>
      <c r="S5" s="91"/>
      <c r="T5" s="19"/>
    </row>
    <row r="6" spans="1:20" x14ac:dyDescent="0.2">
      <c r="A6" s="58">
        <v>15.775000000000002</v>
      </c>
      <c r="B6" s="59">
        <v>43678</v>
      </c>
      <c r="C6" s="82">
        <f t="shared" si="2"/>
        <v>43678</v>
      </c>
      <c r="D6" s="95">
        <v>43678</v>
      </c>
      <c r="E6" s="60" t="s">
        <v>221</v>
      </c>
      <c r="F6" s="61">
        <v>3.8029099999999998</v>
      </c>
      <c r="G6" s="61">
        <v>-6.0000000000393072E-5</v>
      </c>
      <c r="H6" s="61">
        <f t="shared" si="3"/>
        <v>-5.2962962962999072E-4</v>
      </c>
      <c r="I6" s="62">
        <v>14.85</v>
      </c>
      <c r="J6" s="63">
        <v>16.700000000000003</v>
      </c>
      <c r="K6" s="35"/>
      <c r="L6" s="75">
        <v>43678</v>
      </c>
      <c r="M6" s="60">
        <v>3.8029099999999998</v>
      </c>
      <c r="N6" s="76">
        <f t="shared" si="0"/>
        <v>-5.15499999999669E-4</v>
      </c>
      <c r="O6" s="93"/>
      <c r="P6" s="75">
        <v>43678</v>
      </c>
      <c r="Q6" s="60">
        <v>3.8029099999999998</v>
      </c>
      <c r="R6" s="76">
        <f t="shared" si="1"/>
        <v>-5.15499999999669E-4</v>
      </c>
      <c r="S6" s="91"/>
      <c r="T6" s="19"/>
    </row>
    <row r="7" spans="1:20" x14ac:dyDescent="0.2">
      <c r="A7" s="58">
        <v>17.8</v>
      </c>
      <c r="B7" s="59" t="s">
        <v>203</v>
      </c>
      <c r="C7" s="82">
        <f t="shared" si="2"/>
        <v>43647</v>
      </c>
      <c r="D7" s="95">
        <v>43647</v>
      </c>
      <c r="E7" s="60" t="s">
        <v>220</v>
      </c>
      <c r="F7" s="61">
        <v>3.8032699999999999</v>
      </c>
      <c r="G7" s="61">
        <v>2.9999999999974492E-4</v>
      </c>
      <c r="H7" s="61">
        <f t="shared" si="3"/>
        <v>-1.6962962962985273E-4</v>
      </c>
      <c r="I7" s="62">
        <v>18.25</v>
      </c>
      <c r="J7" s="63">
        <v>17.350000000000001</v>
      </c>
      <c r="K7" s="35"/>
      <c r="L7" s="75">
        <v>43647</v>
      </c>
      <c r="M7" s="60">
        <v>3.8032699999999999</v>
      </c>
      <c r="N7" s="76">
        <v>-1.5549999999953101E-4</v>
      </c>
      <c r="O7" s="93"/>
      <c r="P7" s="75">
        <v>43647</v>
      </c>
      <c r="Q7" s="61">
        <v>3.8029700000000002</v>
      </c>
      <c r="R7" s="76">
        <v>-4.6962962962959764E-4</v>
      </c>
      <c r="S7" s="91"/>
      <c r="T7" s="19"/>
    </row>
    <row r="8" spans="1:20" x14ac:dyDescent="0.2">
      <c r="A8" s="58">
        <v>16.924999999999997</v>
      </c>
      <c r="B8" s="59">
        <v>43587</v>
      </c>
      <c r="C8" s="82">
        <f t="shared" si="2"/>
        <v>43587</v>
      </c>
      <c r="D8" s="95">
        <v>43587</v>
      </c>
      <c r="E8" s="60" t="s">
        <v>219</v>
      </c>
      <c r="F8" s="61">
        <v>3.8029600000000001</v>
      </c>
      <c r="G8" s="61">
        <v>-1.0000000000065512E-5</v>
      </c>
      <c r="H8" s="61">
        <f t="shared" si="3"/>
        <v>-4.7962962962966316E-4</v>
      </c>
      <c r="I8" s="62">
        <v>16.55</v>
      </c>
      <c r="J8" s="63">
        <v>17.299999999999997</v>
      </c>
      <c r="K8" s="35"/>
      <c r="L8" s="75">
        <v>43586</v>
      </c>
      <c r="M8" s="60">
        <v>3.8029600000000001</v>
      </c>
      <c r="N8" s="76">
        <f t="shared" si="0"/>
        <v>-4.6549999999934144E-4</v>
      </c>
      <c r="O8" s="93"/>
      <c r="P8" s="75">
        <v>43586</v>
      </c>
      <c r="Q8" s="60">
        <v>3.8029600000000001</v>
      </c>
      <c r="R8" s="76">
        <f t="shared" si="1"/>
        <v>-4.6549999999934144E-4</v>
      </c>
      <c r="S8" s="91"/>
      <c r="T8" s="19"/>
    </row>
    <row r="9" spans="1:20" x14ac:dyDescent="0.2">
      <c r="A9" s="58">
        <v>27.975000000000001</v>
      </c>
      <c r="B9" s="59">
        <v>43536</v>
      </c>
      <c r="C9" s="82">
        <f t="shared" si="2"/>
        <v>43536</v>
      </c>
      <c r="D9" s="95">
        <v>43536</v>
      </c>
      <c r="E9" s="60" t="s">
        <v>218</v>
      </c>
      <c r="F9" s="61">
        <v>3.8037299999999998</v>
      </c>
      <c r="G9" s="61">
        <v>7.5999999999964984E-4</v>
      </c>
      <c r="H9" s="61">
        <f t="shared" si="3"/>
        <v>2.903703703700522E-4</v>
      </c>
      <c r="I9" s="62">
        <v>27.05</v>
      </c>
      <c r="J9" s="63">
        <v>28.9</v>
      </c>
      <c r="K9" s="35"/>
      <c r="L9" s="75">
        <v>43525</v>
      </c>
      <c r="M9" s="60">
        <v>3.8037299999999998</v>
      </c>
      <c r="N9" s="76">
        <f t="shared" si="0"/>
        <v>3.0450000000037392E-4</v>
      </c>
      <c r="O9" s="93"/>
      <c r="P9" s="75">
        <v>43525</v>
      </c>
      <c r="Q9" s="60">
        <v>3.8037299999999998</v>
      </c>
      <c r="R9" s="76">
        <f t="shared" si="1"/>
        <v>3.0450000000037392E-4</v>
      </c>
      <c r="S9" s="91"/>
      <c r="T9" s="19"/>
    </row>
    <row r="10" spans="1:20" x14ac:dyDescent="0.2">
      <c r="A10" s="58">
        <v>23</v>
      </c>
      <c r="B10" s="59" t="s">
        <v>198</v>
      </c>
      <c r="C10" s="82">
        <f t="shared" si="2"/>
        <v>43508</v>
      </c>
      <c r="D10" s="95">
        <v>43508</v>
      </c>
      <c r="E10" s="60" t="s">
        <v>217</v>
      </c>
      <c r="F10" s="61">
        <v>3.8038400000000001</v>
      </c>
      <c r="G10" s="61">
        <v>8.6999999999992639E-4</v>
      </c>
      <c r="H10" s="61">
        <f t="shared" si="3"/>
        <v>4.0037037037032874E-4</v>
      </c>
      <c r="I10" s="62">
        <v>22.1</v>
      </c>
      <c r="J10" s="63">
        <v>23.9</v>
      </c>
      <c r="K10" s="35"/>
      <c r="L10" s="75">
        <v>43497</v>
      </c>
      <c r="M10" s="60">
        <v>3.8038400000000001</v>
      </c>
      <c r="N10" s="76">
        <f t="shared" si="0"/>
        <v>4.1450000000065046E-4</v>
      </c>
      <c r="O10" s="93"/>
      <c r="P10" s="75">
        <v>43497</v>
      </c>
      <c r="Q10" s="60">
        <v>3.8038400000000001</v>
      </c>
      <c r="R10" s="76">
        <f t="shared" si="1"/>
        <v>4.1450000000065046E-4</v>
      </c>
      <c r="S10" s="91"/>
      <c r="T10" s="19"/>
    </row>
    <row r="11" spans="1:20" x14ac:dyDescent="0.2">
      <c r="A11" s="58">
        <v>28.9</v>
      </c>
      <c r="B11" s="64">
        <v>43474</v>
      </c>
      <c r="C11" s="82">
        <f t="shared" si="2"/>
        <v>43474</v>
      </c>
      <c r="D11" s="95">
        <v>43474</v>
      </c>
      <c r="E11" s="60" t="s">
        <v>216</v>
      </c>
      <c r="F11" s="61">
        <v>3.8036799999999999</v>
      </c>
      <c r="G11" s="61">
        <v>7.0999999999976637E-4</v>
      </c>
      <c r="H11" s="61">
        <f t="shared" si="3"/>
        <v>2.4037037037016873E-4</v>
      </c>
      <c r="I11" s="62">
        <v>28.05</v>
      </c>
      <c r="J11" s="63">
        <v>29.75</v>
      </c>
      <c r="K11" s="35"/>
      <c r="L11" s="75">
        <v>43466</v>
      </c>
      <c r="M11" s="60">
        <v>3.8036799999999999</v>
      </c>
      <c r="N11" s="76">
        <f t="shared" si="0"/>
        <v>2.5450000000049045E-4</v>
      </c>
      <c r="O11" s="93"/>
      <c r="P11" s="75">
        <v>43466</v>
      </c>
      <c r="Q11" s="60">
        <v>3.8036799999999999</v>
      </c>
      <c r="R11" s="76">
        <f t="shared" si="1"/>
        <v>2.5450000000049045E-4</v>
      </c>
      <c r="S11" s="91"/>
      <c r="T11" s="19"/>
    </row>
    <row r="12" spans="1:20" x14ac:dyDescent="0.2">
      <c r="A12" s="58">
        <v>19.024999999999999</v>
      </c>
      <c r="B12" s="64">
        <v>43440</v>
      </c>
      <c r="C12" s="82">
        <f t="shared" si="2"/>
        <v>43440</v>
      </c>
      <c r="D12" s="95">
        <v>43440</v>
      </c>
      <c r="E12" s="60" t="s">
        <v>213</v>
      </c>
      <c r="F12" s="61">
        <v>3.80369</v>
      </c>
      <c r="G12" s="61">
        <v>7.1999999999983189E-4</v>
      </c>
      <c r="H12" s="61">
        <f t="shared" si="3"/>
        <v>2.5037037037023424E-4</v>
      </c>
      <c r="I12" s="62">
        <v>19.25</v>
      </c>
      <c r="J12" s="63">
        <v>18.8</v>
      </c>
      <c r="K12" s="35"/>
      <c r="L12" s="75">
        <v>43435</v>
      </c>
      <c r="M12" s="60">
        <v>3.80369</v>
      </c>
      <c r="N12" s="76">
        <f t="shared" si="0"/>
        <v>2.6450000000055596E-4</v>
      </c>
      <c r="O12" s="93"/>
      <c r="P12" s="75">
        <v>43435</v>
      </c>
      <c r="Q12" s="60">
        <v>3.80369</v>
      </c>
      <c r="R12" s="76">
        <f t="shared" si="1"/>
        <v>2.6450000000055596E-4</v>
      </c>
      <c r="S12" s="91"/>
      <c r="T12" s="19"/>
    </row>
    <row r="13" spans="1:20" x14ac:dyDescent="0.2">
      <c r="A13" s="58">
        <v>23</v>
      </c>
      <c r="B13" s="65" t="s">
        <v>206</v>
      </c>
      <c r="C13" s="82">
        <f t="shared" si="2"/>
        <v>43384</v>
      </c>
      <c r="D13" s="95">
        <v>43384</v>
      </c>
      <c r="E13" s="60" t="s">
        <v>211</v>
      </c>
      <c r="F13" s="61">
        <v>3.80322</v>
      </c>
      <c r="G13" s="61">
        <v>2.4999999999986144E-4</v>
      </c>
      <c r="H13" s="61">
        <f t="shared" si="3"/>
        <v>-2.196296296297362E-4</v>
      </c>
      <c r="I13" s="62">
        <v>23</v>
      </c>
      <c r="J13" s="63">
        <v>23</v>
      </c>
      <c r="K13" s="35"/>
      <c r="L13" s="75">
        <v>43374</v>
      </c>
      <c r="M13" s="60">
        <v>3.80322</v>
      </c>
      <c r="N13" s="76">
        <f t="shared" si="0"/>
        <v>-2.0549999999941448E-4</v>
      </c>
      <c r="O13" s="93"/>
      <c r="P13" s="75">
        <v>43374</v>
      </c>
      <c r="Q13" s="60">
        <v>3.80322</v>
      </c>
      <c r="R13" s="76">
        <f t="shared" si="1"/>
        <v>-2.0549999999941448E-4</v>
      </c>
      <c r="S13" s="91"/>
      <c r="T13" s="19"/>
    </row>
    <row r="14" spans="1:20" x14ac:dyDescent="0.2">
      <c r="A14" s="58">
        <v>16.75</v>
      </c>
      <c r="B14" s="64">
        <v>43342</v>
      </c>
      <c r="C14" s="82">
        <f t="shared" si="2"/>
        <v>43342</v>
      </c>
      <c r="D14" s="95">
        <v>43342</v>
      </c>
      <c r="E14" s="60" t="s">
        <v>196</v>
      </c>
      <c r="F14" s="61">
        <v>3.8029999999999999</v>
      </c>
      <c r="G14" s="61">
        <v>2.9999999999752447E-5</v>
      </c>
      <c r="H14" s="61">
        <f t="shared" si="3"/>
        <v>-4.396296296298452E-4</v>
      </c>
      <c r="I14" s="62">
        <v>16.600000000000001</v>
      </c>
      <c r="J14" s="67">
        <v>16.899999999999999</v>
      </c>
      <c r="K14" s="36"/>
      <c r="L14" s="75">
        <v>43313</v>
      </c>
      <c r="M14" s="60">
        <v>3.8029999999999999</v>
      </c>
      <c r="N14" s="76">
        <f t="shared" si="0"/>
        <v>-4.2549999999952348E-4</v>
      </c>
      <c r="O14" s="93"/>
      <c r="P14" s="75">
        <v>43313</v>
      </c>
      <c r="Q14" s="60">
        <v>3.8029999999999999</v>
      </c>
      <c r="R14" s="76">
        <f t="shared" si="1"/>
        <v>-4.2549999999952348E-4</v>
      </c>
      <c r="S14" s="91"/>
      <c r="T14" s="19"/>
    </row>
    <row r="15" spans="1:20" x14ac:dyDescent="0.2">
      <c r="A15" s="68">
        <v>17.05</v>
      </c>
      <c r="B15" s="64">
        <v>43265</v>
      </c>
      <c r="C15" s="82">
        <f t="shared" si="2"/>
        <v>43265</v>
      </c>
      <c r="D15" s="95">
        <v>43265</v>
      </c>
      <c r="E15" s="60" t="s">
        <v>194</v>
      </c>
      <c r="F15" s="61">
        <v>3.8030200000000001</v>
      </c>
      <c r="G15" s="61">
        <v>4.9999999999883471E-5</v>
      </c>
      <c r="H15" s="61">
        <f t="shared" si="3"/>
        <v>-4.1962962962971417E-4</v>
      </c>
      <c r="I15" s="62">
        <v>16</v>
      </c>
      <c r="J15" s="67">
        <v>18.100000000000001</v>
      </c>
      <c r="K15" s="36"/>
      <c r="L15" s="75">
        <v>43252</v>
      </c>
      <c r="M15" s="60">
        <v>3.8030200000000001</v>
      </c>
      <c r="N15" s="76">
        <f t="shared" si="0"/>
        <v>-4.0549999999939246E-4</v>
      </c>
      <c r="O15" s="93"/>
      <c r="P15" s="75">
        <v>43252</v>
      </c>
      <c r="Q15" s="60">
        <v>3.8030200000000001</v>
      </c>
      <c r="R15" s="76">
        <f t="shared" si="1"/>
        <v>-4.0549999999939246E-4</v>
      </c>
      <c r="S15" s="91"/>
      <c r="T15" s="19"/>
    </row>
    <row r="16" spans="1:20" x14ac:dyDescent="0.2">
      <c r="A16" s="58">
        <v>29.9</v>
      </c>
      <c r="B16" s="64">
        <v>43220</v>
      </c>
      <c r="C16" s="82">
        <f t="shared" si="2"/>
        <v>43220</v>
      </c>
      <c r="D16" s="95">
        <v>43220</v>
      </c>
      <c r="E16" s="60" t="s">
        <v>193</v>
      </c>
      <c r="F16" s="61">
        <v>3.8033800000000002</v>
      </c>
      <c r="G16" s="61">
        <v>4.1000000000002146E-4</v>
      </c>
      <c r="H16" s="61">
        <f t="shared" si="3"/>
        <v>-5.9629629629576186E-5</v>
      </c>
      <c r="I16" s="62">
        <v>29.5</v>
      </c>
      <c r="J16" s="63">
        <v>30.3</v>
      </c>
      <c r="K16" s="35"/>
      <c r="L16" s="75">
        <v>43191</v>
      </c>
      <c r="M16" s="60">
        <v>3.8033800000000002</v>
      </c>
      <c r="N16" s="76">
        <f t="shared" si="0"/>
        <v>-4.549999999925447E-5</v>
      </c>
      <c r="O16" s="93"/>
      <c r="P16" s="75">
        <v>43191</v>
      </c>
      <c r="Q16" s="60">
        <v>3.8033800000000002</v>
      </c>
      <c r="R16" s="76">
        <f t="shared" si="1"/>
        <v>-4.549999999925447E-5</v>
      </c>
      <c r="S16" s="91"/>
      <c r="T16" s="19"/>
    </row>
    <row r="17" spans="1:20" x14ac:dyDescent="0.2">
      <c r="A17" s="58">
        <v>21.1</v>
      </c>
      <c r="B17" s="64">
        <v>43186</v>
      </c>
      <c r="C17" s="82">
        <f t="shared" si="2"/>
        <v>43186</v>
      </c>
      <c r="D17" s="95">
        <v>43186</v>
      </c>
      <c r="E17" s="60" t="s">
        <v>190</v>
      </c>
      <c r="F17" s="61">
        <v>3.8035999999999999</v>
      </c>
      <c r="G17" s="61">
        <v>6.2999999999968637E-4</v>
      </c>
      <c r="H17" s="61">
        <f t="shared" si="3"/>
        <v>1.6037037037008872E-4</v>
      </c>
      <c r="I17" s="62">
        <v>19.5</v>
      </c>
      <c r="J17" s="63">
        <v>22.7</v>
      </c>
      <c r="K17" s="35"/>
      <c r="L17" s="75">
        <v>43160</v>
      </c>
      <c r="M17" s="60">
        <v>3.8035999999999999</v>
      </c>
      <c r="N17" s="76">
        <f t="shared" si="0"/>
        <v>1.7450000000041044E-4</v>
      </c>
      <c r="O17" s="93"/>
      <c r="P17" s="75">
        <v>43160</v>
      </c>
      <c r="Q17" s="60">
        <v>3.8035999999999999</v>
      </c>
      <c r="R17" s="76">
        <f t="shared" si="1"/>
        <v>1.7450000000041044E-4</v>
      </c>
      <c r="S17" s="91"/>
      <c r="T17" s="19"/>
    </row>
    <row r="18" spans="1:20" x14ac:dyDescent="0.2">
      <c r="A18" s="58">
        <v>24.75</v>
      </c>
      <c r="B18" s="64">
        <v>43158</v>
      </c>
      <c r="C18" s="82">
        <f t="shared" si="2"/>
        <v>43158</v>
      </c>
      <c r="D18" s="95">
        <v>43158</v>
      </c>
      <c r="E18" s="60" t="s">
        <v>144</v>
      </c>
      <c r="F18" s="60">
        <v>3.8037399999999999</v>
      </c>
      <c r="G18" s="61">
        <v>7.6999999999971536E-4</v>
      </c>
      <c r="H18" s="61">
        <f t="shared" si="3"/>
        <v>3.0037037037011771E-4</v>
      </c>
      <c r="I18" s="62">
        <v>24</v>
      </c>
      <c r="J18" s="63">
        <v>25.5</v>
      </c>
      <c r="K18" s="35"/>
      <c r="L18" s="75">
        <v>43132</v>
      </c>
      <c r="M18" s="60">
        <v>3.8037399999999999</v>
      </c>
      <c r="N18" s="76">
        <f t="shared" si="0"/>
        <v>3.1450000000043943E-4</v>
      </c>
      <c r="O18" s="93"/>
      <c r="P18" s="75">
        <v>43132</v>
      </c>
      <c r="Q18" s="60">
        <v>3.8037399999999999</v>
      </c>
      <c r="R18" s="76">
        <f t="shared" si="1"/>
        <v>3.1450000000043943E-4</v>
      </c>
      <c r="S18" s="91"/>
    </row>
    <row r="19" spans="1:20" x14ac:dyDescent="0.2">
      <c r="A19" s="58">
        <v>24.75</v>
      </c>
      <c r="B19" s="64">
        <v>43157</v>
      </c>
      <c r="C19" s="82">
        <f t="shared" si="2"/>
        <v>43157</v>
      </c>
      <c r="D19" s="95">
        <v>43157</v>
      </c>
      <c r="E19" s="60" t="s">
        <v>143</v>
      </c>
      <c r="F19" s="60">
        <v>3.8038099999999999</v>
      </c>
      <c r="G19" s="61">
        <v>8.3999999999972985E-4</v>
      </c>
      <c r="H19" s="61">
        <f t="shared" si="3"/>
        <v>3.7037037037013221E-4</v>
      </c>
      <c r="I19" s="62">
        <v>24</v>
      </c>
      <c r="J19" s="63">
        <v>25.5</v>
      </c>
      <c r="K19" s="35"/>
      <c r="L19" s="75">
        <v>43132</v>
      </c>
      <c r="M19" s="60">
        <v>3.8038099999999999</v>
      </c>
      <c r="N19" s="76">
        <f t="shared" si="0"/>
        <v>3.8450000000045392E-4</v>
      </c>
      <c r="O19" s="93"/>
      <c r="P19" s="75">
        <v>43132</v>
      </c>
      <c r="Q19" s="60">
        <v>3.8038099999999999</v>
      </c>
      <c r="R19" s="76">
        <f t="shared" si="1"/>
        <v>3.8450000000045392E-4</v>
      </c>
      <c r="S19" s="91"/>
    </row>
    <row r="20" spans="1:20" x14ac:dyDescent="0.2">
      <c r="A20" s="58">
        <v>23</v>
      </c>
      <c r="B20" s="64">
        <v>43111</v>
      </c>
      <c r="C20" s="82">
        <f t="shared" si="2"/>
        <v>43111</v>
      </c>
      <c r="D20" s="95">
        <v>43111</v>
      </c>
      <c r="E20" s="60" t="s">
        <v>37</v>
      </c>
      <c r="F20" s="61">
        <v>3.80375</v>
      </c>
      <c r="G20" s="61">
        <v>7.7999999999978087E-4</v>
      </c>
      <c r="H20" s="61">
        <f t="shared" si="3"/>
        <v>3.1037037037018322E-4</v>
      </c>
      <c r="I20" s="62">
        <v>22.4</v>
      </c>
      <c r="J20" s="63">
        <v>23.6</v>
      </c>
      <c r="K20" s="35"/>
      <c r="L20" s="75">
        <v>43101</v>
      </c>
      <c r="M20" s="60">
        <v>3.80375</v>
      </c>
      <c r="N20" s="76">
        <f t="shared" si="0"/>
        <v>3.2450000000050494E-4</v>
      </c>
      <c r="O20" s="93"/>
      <c r="P20" s="75">
        <v>43101</v>
      </c>
      <c r="Q20" s="60">
        <v>3.80375</v>
      </c>
      <c r="R20" s="76">
        <f t="shared" si="1"/>
        <v>3.2450000000050494E-4</v>
      </c>
      <c r="S20" s="91"/>
    </row>
    <row r="21" spans="1:20" x14ac:dyDescent="0.2">
      <c r="A21" s="58">
        <v>23.4</v>
      </c>
      <c r="B21" s="64">
        <v>43027</v>
      </c>
      <c r="C21" s="82">
        <f t="shared" si="2"/>
        <v>43027</v>
      </c>
      <c r="D21" s="95">
        <v>43027</v>
      </c>
      <c r="E21" s="60" t="s">
        <v>52</v>
      </c>
      <c r="F21" s="61">
        <v>3.80314</v>
      </c>
      <c r="G21" s="61">
        <v>1.6999999999978144E-4</v>
      </c>
      <c r="H21" s="61">
        <f t="shared" si="3"/>
        <v>-2.9962962962981621E-4</v>
      </c>
      <c r="I21" s="62">
        <v>24.2</v>
      </c>
      <c r="J21" s="63">
        <v>22.6</v>
      </c>
      <c r="K21" s="35"/>
      <c r="L21" s="75">
        <v>43009</v>
      </c>
      <c r="M21" s="60">
        <v>3.80314</v>
      </c>
      <c r="N21" s="76">
        <f t="shared" si="0"/>
        <v>-2.8549999999949449E-4</v>
      </c>
      <c r="O21" s="93"/>
      <c r="P21" s="75">
        <v>43009</v>
      </c>
      <c r="Q21" s="60">
        <v>3.80314</v>
      </c>
      <c r="R21" s="76">
        <f t="shared" si="1"/>
        <v>-2.8549999999949449E-4</v>
      </c>
      <c r="S21" s="91"/>
    </row>
    <row r="22" spans="1:20" x14ac:dyDescent="0.2">
      <c r="A22" s="69"/>
      <c r="B22" s="64">
        <v>42054</v>
      </c>
      <c r="C22" s="82">
        <f t="shared" si="2"/>
        <v>42054</v>
      </c>
      <c r="D22" s="95">
        <v>42054</v>
      </c>
      <c r="E22" s="60" t="s">
        <v>46</v>
      </c>
      <c r="F22" s="61">
        <v>3.8037800000000002</v>
      </c>
      <c r="G22" s="61">
        <v>8.099999999999774E-4</v>
      </c>
      <c r="H22" s="61">
        <f t="shared" si="3"/>
        <v>3.4037037037037976E-4</v>
      </c>
      <c r="I22" s="62"/>
      <c r="J22" s="63"/>
      <c r="K22" s="35"/>
      <c r="L22" s="83" t="s">
        <v>239</v>
      </c>
      <c r="M22" s="84">
        <f>AVERAGE(M2:M21)</f>
        <v>3.8034254999999995</v>
      </c>
      <c r="N22" s="84">
        <f>AVERAGE(N2:N21)</f>
        <v>4.8849813083506892E-16</v>
      </c>
      <c r="O22" s="89"/>
      <c r="P22" s="83" t="s">
        <v>239</v>
      </c>
      <c r="Q22" s="84">
        <f>AVERAGE(Q2:Q21)</f>
        <v>3.8034104999999996</v>
      </c>
      <c r="R22" s="84">
        <f>AVERAGE(R2:R21)</f>
        <v>-1.5706481481014833E-5</v>
      </c>
      <c r="S22" s="89"/>
    </row>
    <row r="23" spans="1:20" x14ac:dyDescent="0.2">
      <c r="A23" s="69"/>
      <c r="B23" s="64">
        <v>41422</v>
      </c>
      <c r="C23" s="82">
        <f t="shared" si="2"/>
        <v>41422</v>
      </c>
      <c r="D23" s="95">
        <v>41422</v>
      </c>
      <c r="E23" s="60" t="s">
        <v>79</v>
      </c>
      <c r="F23" s="61">
        <v>3.8031199999999998</v>
      </c>
      <c r="G23" s="61">
        <v>1.4999999999965041E-4</v>
      </c>
      <c r="H23" s="61">
        <f t="shared" si="3"/>
        <v>-3.1962962962994723E-4</v>
      </c>
      <c r="I23" s="62"/>
      <c r="J23" s="63"/>
      <c r="K23" s="35"/>
    </row>
    <row r="24" spans="1:20" x14ac:dyDescent="0.2">
      <c r="A24" s="69"/>
      <c r="B24" s="64">
        <v>40595</v>
      </c>
      <c r="C24" s="82">
        <f t="shared" si="2"/>
        <v>40595</v>
      </c>
      <c r="D24" s="95">
        <v>40595</v>
      </c>
      <c r="E24" s="60" t="s">
        <v>32</v>
      </c>
      <c r="F24" s="61">
        <v>3.8037000000000001</v>
      </c>
      <c r="G24" s="61">
        <v>7.299999999998974E-4</v>
      </c>
      <c r="H24" s="61">
        <f t="shared" si="3"/>
        <v>2.6037037037029975E-4</v>
      </c>
      <c r="I24" s="62"/>
      <c r="J24" s="63"/>
      <c r="K24" t="s">
        <v>238</v>
      </c>
    </row>
    <row r="25" spans="1:20" x14ac:dyDescent="0.2">
      <c r="A25" s="69"/>
      <c r="B25" s="64">
        <v>39841</v>
      </c>
      <c r="C25" s="82">
        <f t="shared" si="2"/>
        <v>39841</v>
      </c>
      <c r="D25" s="95">
        <v>39841</v>
      </c>
      <c r="E25" s="60" t="s">
        <v>80</v>
      </c>
      <c r="F25" s="61">
        <v>3.80389</v>
      </c>
      <c r="G25" s="61">
        <v>9.1999999999980986E-4</v>
      </c>
      <c r="H25" s="61">
        <f t="shared" si="3"/>
        <v>4.5037037037021221E-4</v>
      </c>
      <c r="I25" s="62"/>
      <c r="J25" s="63"/>
      <c r="K25" s="35"/>
    </row>
    <row r="26" spans="1:20" x14ac:dyDescent="0.2">
      <c r="A26" s="69"/>
      <c r="B26" s="64">
        <v>39288</v>
      </c>
      <c r="C26" s="82">
        <f t="shared" si="2"/>
        <v>39288</v>
      </c>
      <c r="D26" s="95">
        <v>39288</v>
      </c>
      <c r="E26" s="60" t="s">
        <v>81</v>
      </c>
      <c r="F26" s="61">
        <v>3.8029700000000002</v>
      </c>
      <c r="G26" s="61">
        <v>0</v>
      </c>
      <c r="H26" s="61">
        <f t="shared" si="3"/>
        <v>-4.6962962962959764E-4</v>
      </c>
      <c r="I26" s="62"/>
      <c r="J26" s="63"/>
      <c r="K26" s="35"/>
    </row>
    <row r="27" spans="1:20" x14ac:dyDescent="0.2">
      <c r="A27" s="69"/>
      <c r="B27" s="64">
        <v>37427</v>
      </c>
      <c r="C27" s="82">
        <f t="shared" si="2"/>
        <v>37427</v>
      </c>
      <c r="D27" s="95">
        <v>37427</v>
      </c>
      <c r="E27" s="60" t="s">
        <v>82</v>
      </c>
      <c r="F27" s="61">
        <v>3.8029999999999999</v>
      </c>
      <c r="G27" s="61">
        <v>2.9999999999752447E-5</v>
      </c>
      <c r="H27" s="61">
        <f t="shared" si="3"/>
        <v>-4.396296296298452E-4</v>
      </c>
      <c r="I27" s="62"/>
      <c r="J27" s="63"/>
      <c r="K27" s="35"/>
    </row>
    <row r="28" spans="1:20" x14ac:dyDescent="0.2">
      <c r="A28" s="69"/>
      <c r="B28" s="64">
        <v>37350</v>
      </c>
      <c r="C28" s="82">
        <f t="shared" si="2"/>
        <v>37350</v>
      </c>
      <c r="D28" s="95">
        <v>37350</v>
      </c>
      <c r="E28" s="60" t="s">
        <v>83</v>
      </c>
      <c r="F28" s="61">
        <v>3.8039000000000001</v>
      </c>
      <c r="G28" s="61">
        <v>9.2999999999987537E-4</v>
      </c>
      <c r="H28" s="61">
        <f t="shared" si="3"/>
        <v>4.6037037037027773E-4</v>
      </c>
      <c r="I28" s="62"/>
      <c r="J28" s="63"/>
      <c r="K28" s="35"/>
      <c r="M28" s="15"/>
    </row>
    <row r="29" spans="1:20" x14ac:dyDescent="0.2">
      <c r="A29" s="69"/>
      <c r="B29" s="87" t="s">
        <v>242</v>
      </c>
      <c r="C29" s="82"/>
      <c r="D29" s="66"/>
      <c r="E29" s="60"/>
      <c r="F29" s="61">
        <f>MIN(F2:F28)</f>
        <v>3.8029099999999998</v>
      </c>
      <c r="G29" s="61">
        <f t="shared" ref="G29:H29" si="4">MIN(G2:G28)</f>
        <v>-6.0000000000393072E-5</v>
      </c>
      <c r="H29" s="61">
        <f t="shared" si="4"/>
        <v>-5.2962962962999072E-4</v>
      </c>
      <c r="I29" s="62"/>
      <c r="J29" s="63"/>
      <c r="K29" s="35"/>
      <c r="M29" s="15"/>
    </row>
    <row r="30" spans="1:20" x14ac:dyDescent="0.2">
      <c r="A30" s="69"/>
      <c r="B30" s="87" t="s">
        <v>243</v>
      </c>
      <c r="C30" s="82"/>
      <c r="D30" s="66"/>
      <c r="E30" s="60"/>
      <c r="F30" s="61">
        <f>MAX(F2:F28)</f>
        <v>3.8039000000000001</v>
      </c>
      <c r="G30" s="61">
        <f t="shared" ref="G30:H30" si="5">MAX(G2:G28)</f>
        <v>9.2999999999987537E-4</v>
      </c>
      <c r="H30" s="61">
        <f t="shared" si="5"/>
        <v>4.6037037037027773E-4</v>
      </c>
      <c r="I30" s="62"/>
      <c r="J30" s="63"/>
      <c r="K30" s="35"/>
      <c r="M30" s="15"/>
    </row>
    <row r="31" spans="1:20" x14ac:dyDescent="0.2">
      <c r="A31" s="69"/>
      <c r="B31" s="88" t="s">
        <v>244</v>
      </c>
      <c r="C31" s="82"/>
      <c r="D31" s="66"/>
      <c r="E31" s="60"/>
      <c r="F31" s="89">
        <f>F30-F29</f>
        <v>9.9000000000026844E-4</v>
      </c>
      <c r="G31" s="89">
        <f t="shared" ref="G31:H31" si="6">G30-G29</f>
        <v>9.9000000000026844E-4</v>
      </c>
      <c r="H31" s="89">
        <f t="shared" si="6"/>
        <v>9.9000000000026844E-4</v>
      </c>
      <c r="I31" s="62"/>
      <c r="J31" s="63"/>
      <c r="K31" s="35"/>
      <c r="M31" s="15"/>
    </row>
    <row r="32" spans="1:20" x14ac:dyDescent="0.2">
      <c r="A32" s="70"/>
      <c r="B32" s="86" t="s">
        <v>239</v>
      </c>
      <c r="C32" s="71"/>
      <c r="D32" s="71"/>
      <c r="E32" s="71"/>
      <c r="F32" s="84">
        <f>AVERAGE(F2:F28)</f>
        <v>3.8034396296296298</v>
      </c>
      <c r="G32" s="84">
        <f t="shared" ref="G32:H32" si="7">AVERAGE(G2:G28)</f>
        <v>4.6962962962941675E-4</v>
      </c>
      <c r="H32" s="84">
        <f t="shared" si="7"/>
        <v>-1.8092523364261809E-16</v>
      </c>
      <c r="I32" s="71"/>
      <c r="J32" s="72"/>
    </row>
    <row r="33" spans="1:13" x14ac:dyDescent="0.2">
      <c r="B33" t="s">
        <v>245</v>
      </c>
      <c r="F33" s="15">
        <f>MEDIAN(F2:F28)</f>
        <v>3.8035899999999998</v>
      </c>
      <c r="G33" s="15">
        <f t="shared" ref="G33:H33" si="8">MEDIAN(G2:G28)</f>
        <v>6.1999999999962085E-4</v>
      </c>
      <c r="H33" s="15">
        <f t="shared" si="8"/>
        <v>1.5037037037002321E-4</v>
      </c>
    </row>
    <row r="34" spans="1:13" ht="15.75" x14ac:dyDescent="0.25">
      <c r="A34" s="12" t="s">
        <v>228</v>
      </c>
    </row>
    <row r="35" spans="1:13" x14ac:dyDescent="0.2">
      <c r="A35" s="77"/>
      <c r="B35" s="54" t="s">
        <v>197</v>
      </c>
      <c r="C35" s="54" t="s">
        <v>198</v>
      </c>
      <c r="D35" s="54" t="s">
        <v>199</v>
      </c>
      <c r="E35" s="54" t="s">
        <v>200</v>
      </c>
      <c r="F35" s="54" t="s">
        <v>201</v>
      </c>
      <c r="G35" s="54" t="s">
        <v>202</v>
      </c>
      <c r="H35" s="54" t="s">
        <v>203</v>
      </c>
      <c r="I35" s="54" t="s">
        <v>204</v>
      </c>
      <c r="J35" s="54" t="s">
        <v>205</v>
      </c>
      <c r="K35" s="54" t="s">
        <v>206</v>
      </c>
      <c r="L35" s="54" t="s">
        <v>207</v>
      </c>
      <c r="M35" s="78" t="s">
        <v>208</v>
      </c>
    </row>
    <row r="36" spans="1:13" x14ac:dyDescent="0.2">
      <c r="A36" s="69" t="s">
        <v>229</v>
      </c>
      <c r="B36" s="61">
        <f>F11</f>
        <v>3.8036799999999999</v>
      </c>
      <c r="C36" s="61">
        <f>F10</f>
        <v>3.8038400000000001</v>
      </c>
      <c r="D36" s="61">
        <f>F9</f>
        <v>3.8037299999999998</v>
      </c>
      <c r="E36" s="61"/>
      <c r="F36" s="61">
        <f>F8</f>
        <v>3.8029600000000001</v>
      </c>
      <c r="G36" s="61"/>
      <c r="H36" s="61">
        <f>F7</f>
        <v>3.8032699999999999</v>
      </c>
      <c r="I36" s="61">
        <f>F6</f>
        <v>3.8029099999999998</v>
      </c>
      <c r="J36" s="61">
        <f>F5</f>
        <v>3.8031899999999998</v>
      </c>
      <c r="K36" s="61">
        <f>F4</f>
        <v>3.8033199999999998</v>
      </c>
      <c r="L36" s="61">
        <f>F3</f>
        <v>3.8035899999999998</v>
      </c>
      <c r="M36" s="79">
        <f>F2</f>
        <v>3.8036699999999999</v>
      </c>
    </row>
    <row r="37" spans="1:13" x14ac:dyDescent="0.2">
      <c r="A37" s="69" t="s">
        <v>230</v>
      </c>
      <c r="B37" s="61">
        <f>F20</f>
        <v>3.80375</v>
      </c>
      <c r="C37" s="60">
        <f>F19</f>
        <v>3.8038099999999999</v>
      </c>
      <c r="D37" s="61">
        <f>F17</f>
        <v>3.8035999999999999</v>
      </c>
      <c r="E37" s="61">
        <f>F16</f>
        <v>3.8033800000000002</v>
      </c>
      <c r="F37" s="60"/>
      <c r="G37" s="61">
        <f>F15</f>
        <v>3.8030200000000001</v>
      </c>
      <c r="H37" s="60"/>
      <c r="I37" s="61">
        <f>F14</f>
        <v>3.8029999999999999</v>
      </c>
      <c r="J37" s="60"/>
      <c r="K37" s="61">
        <f>F13</f>
        <v>3.80322</v>
      </c>
      <c r="L37" s="60"/>
      <c r="M37" s="79">
        <f>F12</f>
        <v>3.80369</v>
      </c>
    </row>
    <row r="38" spans="1:13" x14ac:dyDescent="0.2">
      <c r="A38" s="69"/>
      <c r="B38" s="61"/>
      <c r="C38" s="60">
        <f>F18</f>
        <v>3.8037399999999999</v>
      </c>
      <c r="D38" s="61"/>
      <c r="E38" s="61"/>
      <c r="F38" s="60"/>
      <c r="G38" s="61"/>
      <c r="H38" s="60"/>
      <c r="I38" s="61"/>
      <c r="J38" s="60"/>
      <c r="K38" s="61"/>
      <c r="L38" s="60"/>
      <c r="M38" s="79"/>
    </row>
    <row r="39" spans="1:13" x14ac:dyDescent="0.2">
      <c r="A39" s="69" t="s">
        <v>231</v>
      </c>
      <c r="B39" s="60"/>
      <c r="C39" s="60"/>
      <c r="D39" s="60"/>
      <c r="E39" s="60"/>
      <c r="F39" s="60"/>
      <c r="G39" s="60"/>
      <c r="H39" s="60"/>
      <c r="I39" s="60"/>
      <c r="J39" s="60"/>
      <c r="K39" s="61">
        <f>F21</f>
        <v>3.80314</v>
      </c>
      <c r="L39" s="60"/>
      <c r="M39" s="80"/>
    </row>
    <row r="40" spans="1:13" x14ac:dyDescent="0.2">
      <c r="A40" s="69" t="s">
        <v>232</v>
      </c>
      <c r="B40" s="60"/>
      <c r="C40" s="61">
        <f>F22</f>
        <v>3.8037800000000002</v>
      </c>
      <c r="D40" s="60"/>
      <c r="E40" s="60"/>
      <c r="F40" s="60"/>
      <c r="G40" s="60"/>
      <c r="H40" s="60"/>
      <c r="I40" s="60"/>
      <c r="J40" s="60"/>
      <c r="K40" s="60"/>
      <c r="L40" s="60"/>
      <c r="M40" s="80"/>
    </row>
    <row r="41" spans="1:13" x14ac:dyDescent="0.2">
      <c r="A41" s="69" t="s">
        <v>233</v>
      </c>
      <c r="B41" s="60"/>
      <c r="C41" s="60"/>
      <c r="D41" s="60"/>
      <c r="E41" s="60"/>
      <c r="F41" s="61">
        <f>F23</f>
        <v>3.8031199999999998</v>
      </c>
      <c r="G41" s="60"/>
      <c r="H41" s="60"/>
      <c r="I41" s="60"/>
      <c r="J41" s="60"/>
      <c r="K41" s="60"/>
      <c r="L41" s="60"/>
      <c r="M41" s="80"/>
    </row>
    <row r="42" spans="1:13" x14ac:dyDescent="0.2">
      <c r="A42" s="69" t="s">
        <v>234</v>
      </c>
      <c r="B42" s="60"/>
      <c r="C42" s="61">
        <f>F24</f>
        <v>3.8037000000000001</v>
      </c>
      <c r="D42" s="60"/>
      <c r="E42" s="60"/>
      <c r="F42" s="60"/>
      <c r="G42" s="60"/>
      <c r="H42" s="60"/>
      <c r="I42" s="60"/>
      <c r="J42" s="60"/>
      <c r="K42" s="60"/>
      <c r="L42" s="60"/>
      <c r="M42" s="80"/>
    </row>
    <row r="43" spans="1:13" x14ac:dyDescent="0.2">
      <c r="A43" s="69" t="s">
        <v>235</v>
      </c>
      <c r="B43" s="61">
        <f>F25</f>
        <v>3.80389</v>
      </c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80"/>
    </row>
    <row r="44" spans="1:13" x14ac:dyDescent="0.2">
      <c r="A44" s="69" t="s">
        <v>236</v>
      </c>
      <c r="B44" s="60"/>
      <c r="C44" s="60"/>
      <c r="D44" s="60"/>
      <c r="E44" s="60"/>
      <c r="F44" s="60"/>
      <c r="G44" s="60"/>
      <c r="H44" s="61">
        <f>F26</f>
        <v>3.8029700000000002</v>
      </c>
      <c r="I44" s="60"/>
      <c r="J44" s="60"/>
      <c r="K44" s="60"/>
      <c r="L44" s="60"/>
      <c r="M44" s="80"/>
    </row>
    <row r="45" spans="1:13" x14ac:dyDescent="0.2">
      <c r="A45" s="69" t="s">
        <v>237</v>
      </c>
      <c r="B45" s="60"/>
      <c r="C45" s="60"/>
      <c r="D45" s="60"/>
      <c r="E45" s="61">
        <f>F28</f>
        <v>3.8039000000000001</v>
      </c>
      <c r="F45" s="60"/>
      <c r="G45" s="61">
        <f>F27</f>
        <v>3.8029999999999999</v>
      </c>
      <c r="H45" s="60"/>
      <c r="I45" s="60"/>
      <c r="J45" s="60"/>
      <c r="K45" s="60"/>
      <c r="L45" s="60"/>
      <c r="M45" s="80"/>
    </row>
    <row r="46" spans="1:13" x14ac:dyDescent="0.2">
      <c r="A46" s="83" t="s">
        <v>239</v>
      </c>
      <c r="B46" s="84">
        <f>AVERAGE(B36:B45)</f>
        <v>3.8037733333333335</v>
      </c>
      <c r="C46" s="84">
        <f t="shared" ref="C46:M46" si="9">AVERAGE(C36:C45)</f>
        <v>3.8037739999999998</v>
      </c>
      <c r="D46" s="84">
        <f t="shared" si="9"/>
        <v>3.8036649999999996</v>
      </c>
      <c r="E46" s="84">
        <f t="shared" si="9"/>
        <v>3.8036400000000001</v>
      </c>
      <c r="F46" s="84">
        <f t="shared" si="9"/>
        <v>3.8030400000000002</v>
      </c>
      <c r="G46" s="84">
        <f t="shared" si="9"/>
        <v>3.80301</v>
      </c>
      <c r="H46" s="84">
        <f t="shared" si="9"/>
        <v>3.8031199999999998</v>
      </c>
      <c r="I46" s="84">
        <f t="shared" si="9"/>
        <v>3.8029549999999999</v>
      </c>
      <c r="J46" s="84">
        <f t="shared" si="9"/>
        <v>3.8031899999999998</v>
      </c>
      <c r="K46" s="84">
        <f t="shared" si="9"/>
        <v>3.8032266666666668</v>
      </c>
      <c r="L46" s="84">
        <f t="shared" si="9"/>
        <v>3.8035899999999998</v>
      </c>
      <c r="M46" s="85">
        <f t="shared" si="9"/>
        <v>3.8036799999999999</v>
      </c>
    </row>
    <row r="48" spans="1:13" ht="15.75" x14ac:dyDescent="0.25">
      <c r="A48" s="90" t="s">
        <v>246</v>
      </c>
      <c r="B48" s="54" t="s">
        <v>197</v>
      </c>
      <c r="C48" s="54" t="s">
        <v>198</v>
      </c>
      <c r="D48" s="54" t="s">
        <v>199</v>
      </c>
      <c r="E48" s="54" t="s">
        <v>200</v>
      </c>
      <c r="F48" s="54" t="s">
        <v>201</v>
      </c>
      <c r="G48" s="54" t="s">
        <v>202</v>
      </c>
      <c r="H48" s="54" t="s">
        <v>203</v>
      </c>
      <c r="I48" s="54" t="s">
        <v>204</v>
      </c>
      <c r="J48" s="54" t="s">
        <v>205</v>
      </c>
      <c r="K48" s="54" t="s">
        <v>206</v>
      </c>
      <c r="L48" s="54" t="s">
        <v>207</v>
      </c>
      <c r="M48" s="78" t="s">
        <v>208</v>
      </c>
    </row>
    <row r="49" spans="1:29" x14ac:dyDescent="0.2">
      <c r="A49" s="69" t="s">
        <v>229</v>
      </c>
      <c r="B49" s="61">
        <f>G11</f>
        <v>7.0999999999976637E-4</v>
      </c>
      <c r="C49" s="61">
        <f>G10</f>
        <v>8.6999999999992639E-4</v>
      </c>
      <c r="D49" s="61">
        <f>G9</f>
        <v>7.5999999999964984E-4</v>
      </c>
      <c r="E49" s="61"/>
      <c r="F49" s="61">
        <f>G8</f>
        <v>-1.0000000000065512E-5</v>
      </c>
      <c r="G49" s="61"/>
      <c r="H49" s="61">
        <f>G7</f>
        <v>2.9999999999974492E-4</v>
      </c>
      <c r="I49" s="61">
        <f>G6</f>
        <v>-6.0000000000393072E-5</v>
      </c>
      <c r="J49" s="61">
        <f>G5</f>
        <v>2.1999999999966491E-4</v>
      </c>
      <c r="K49" s="61">
        <f>G4</f>
        <v>3.4999999999962839E-4</v>
      </c>
      <c r="L49" s="61">
        <f>G3</f>
        <v>6.1999999999962085E-4</v>
      </c>
      <c r="M49" s="79">
        <f>G2</f>
        <v>6.9999999999970086E-4</v>
      </c>
    </row>
    <row r="50" spans="1:29" x14ac:dyDescent="0.2">
      <c r="A50" s="69" t="s">
        <v>230</v>
      </c>
      <c r="B50" s="61">
        <f>G20</f>
        <v>7.7999999999978087E-4</v>
      </c>
      <c r="C50" s="61">
        <f>G19</f>
        <v>8.3999999999972985E-4</v>
      </c>
      <c r="D50" s="61">
        <f>G17</f>
        <v>6.2999999999968637E-4</v>
      </c>
      <c r="E50" s="61">
        <f>G16</f>
        <v>4.1000000000002146E-4</v>
      </c>
      <c r="F50" s="60"/>
      <c r="G50" s="61">
        <f>G15</f>
        <v>4.9999999999883471E-5</v>
      </c>
      <c r="H50" s="60"/>
      <c r="I50" s="61">
        <f>G14</f>
        <v>2.9999999999752447E-5</v>
      </c>
      <c r="J50" s="60"/>
      <c r="K50" s="61">
        <f>G13</f>
        <v>2.4999999999986144E-4</v>
      </c>
      <c r="L50" s="60"/>
      <c r="M50" s="79">
        <f>G12</f>
        <v>7.1999999999983189E-4</v>
      </c>
    </row>
    <row r="51" spans="1:29" x14ac:dyDescent="0.2">
      <c r="A51" s="69"/>
      <c r="B51" s="61"/>
      <c r="C51" s="61">
        <f>G18</f>
        <v>7.6999999999971536E-4</v>
      </c>
      <c r="D51" s="61"/>
      <c r="E51" s="61"/>
      <c r="F51" s="60"/>
      <c r="G51" s="61"/>
      <c r="H51" s="60"/>
      <c r="I51" s="61"/>
      <c r="J51" s="60"/>
      <c r="K51" s="61"/>
      <c r="L51" s="60"/>
      <c r="M51" s="79"/>
    </row>
    <row r="52" spans="1:29" x14ac:dyDescent="0.2">
      <c r="A52" s="69" t="s">
        <v>231</v>
      </c>
      <c r="B52" s="60"/>
      <c r="C52" s="60"/>
      <c r="D52" s="60"/>
      <c r="E52" s="60"/>
      <c r="F52" s="60"/>
      <c r="G52" s="60"/>
      <c r="H52" s="60"/>
      <c r="I52" s="60"/>
      <c r="J52" s="60"/>
      <c r="K52" s="61">
        <f>G21</f>
        <v>1.6999999999978144E-4</v>
      </c>
      <c r="L52" s="60"/>
      <c r="M52" s="80"/>
    </row>
    <row r="53" spans="1:29" x14ac:dyDescent="0.2">
      <c r="A53" s="69" t="s">
        <v>232</v>
      </c>
      <c r="B53" s="60"/>
      <c r="C53" s="61">
        <f>G22</f>
        <v>8.099999999999774E-4</v>
      </c>
      <c r="D53" s="60"/>
      <c r="E53" s="60"/>
      <c r="F53" s="60"/>
      <c r="G53" s="60"/>
      <c r="H53" s="60"/>
      <c r="I53" s="60"/>
      <c r="J53" s="60"/>
      <c r="K53" s="60"/>
      <c r="L53" s="60"/>
      <c r="M53" s="80"/>
    </row>
    <row r="54" spans="1:29" x14ac:dyDescent="0.2">
      <c r="A54" s="69" t="s">
        <v>233</v>
      </c>
      <c r="B54" s="60"/>
      <c r="C54" s="60"/>
      <c r="D54" s="60"/>
      <c r="E54" s="60"/>
      <c r="F54" s="61">
        <f>G23</f>
        <v>1.4999999999965041E-4</v>
      </c>
      <c r="G54" s="60"/>
      <c r="H54" s="60"/>
      <c r="I54" s="60"/>
      <c r="J54" s="60"/>
      <c r="K54" s="60"/>
      <c r="L54" s="60"/>
      <c r="M54" s="80"/>
    </row>
    <row r="55" spans="1:29" x14ac:dyDescent="0.2">
      <c r="A55" s="69" t="s">
        <v>234</v>
      </c>
      <c r="B55" s="60"/>
      <c r="C55" s="61">
        <f>G24</f>
        <v>7.299999999998974E-4</v>
      </c>
      <c r="D55" s="60"/>
      <c r="E55" s="60"/>
      <c r="F55" s="60"/>
      <c r="G55" s="60"/>
      <c r="H55" s="60"/>
      <c r="I55" s="60"/>
      <c r="J55" s="60"/>
      <c r="K55" s="60"/>
      <c r="L55" s="60"/>
      <c r="M55" s="80"/>
    </row>
    <row r="56" spans="1:29" x14ac:dyDescent="0.2">
      <c r="A56" s="69" t="s">
        <v>235</v>
      </c>
      <c r="B56" s="61">
        <f>G25</f>
        <v>9.1999999999980986E-4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80"/>
    </row>
    <row r="57" spans="1:29" x14ac:dyDescent="0.2">
      <c r="A57" s="69" t="s">
        <v>236</v>
      </c>
      <c r="B57" s="60"/>
      <c r="C57" s="60"/>
      <c r="D57" s="60"/>
      <c r="E57" s="60"/>
      <c r="F57" s="60"/>
      <c r="G57" s="60"/>
      <c r="H57" s="61">
        <f>G26</f>
        <v>0</v>
      </c>
      <c r="I57" s="60"/>
      <c r="J57" s="60"/>
      <c r="K57" s="60"/>
      <c r="L57" s="60"/>
      <c r="M57" s="80"/>
    </row>
    <row r="58" spans="1:29" x14ac:dyDescent="0.2">
      <c r="A58" s="69" t="s">
        <v>237</v>
      </c>
      <c r="B58" s="60"/>
      <c r="C58" s="60"/>
      <c r="D58" s="60"/>
      <c r="E58" s="61">
        <f>G28</f>
        <v>9.2999999999987537E-4</v>
      </c>
      <c r="F58" s="60"/>
      <c r="G58" s="61">
        <f>G27</f>
        <v>2.9999999999752447E-5</v>
      </c>
      <c r="H58" s="60"/>
      <c r="I58" s="60"/>
      <c r="J58" s="60"/>
      <c r="K58" s="60"/>
      <c r="L58" s="60"/>
      <c r="M58" s="80"/>
    </row>
    <row r="59" spans="1:29" x14ac:dyDescent="0.2">
      <c r="A59" s="83" t="s">
        <v>239</v>
      </c>
      <c r="B59" s="84">
        <f>AVERAGE(B49:B58)</f>
        <v>8.0333333333311907E-4</v>
      </c>
      <c r="C59" s="84">
        <f t="shared" ref="C59" si="10">AVERAGE(C49:C58)</f>
        <v>8.0399999999984932E-4</v>
      </c>
      <c r="D59" s="84">
        <f t="shared" ref="D59" si="11">AVERAGE(D49:D58)</f>
        <v>6.9499999999966811E-4</v>
      </c>
      <c r="E59" s="84">
        <f t="shared" ref="E59" si="12">AVERAGE(E49:E58)</f>
        <v>6.6999999999994841E-4</v>
      </c>
      <c r="F59" s="84">
        <f t="shared" ref="F59" si="13">AVERAGE(F49:F58)</f>
        <v>6.999999999979245E-5</v>
      </c>
      <c r="G59" s="84">
        <f t="shared" ref="G59" si="14">AVERAGE(G49:G58)</f>
        <v>3.9999999999817959E-5</v>
      </c>
      <c r="H59" s="84">
        <f t="shared" ref="H59" si="15">AVERAGE(H49:H58)</f>
        <v>1.4999999999987246E-4</v>
      </c>
      <c r="I59" s="84">
        <f t="shared" ref="I59" si="16">AVERAGE(I49:I58)</f>
        <v>-1.5000000000320313E-5</v>
      </c>
      <c r="J59" s="84">
        <f t="shared" ref="J59" si="17">AVERAGE(J49:J58)</f>
        <v>2.1999999999966491E-4</v>
      </c>
      <c r="K59" s="84">
        <f t="shared" ref="K59" si="18">AVERAGE(K49:K58)</f>
        <v>2.5666666666642374E-4</v>
      </c>
      <c r="L59" s="84">
        <f t="shared" ref="L59" si="19">AVERAGE(L49:L58)</f>
        <v>6.1999999999962085E-4</v>
      </c>
      <c r="M59" s="85">
        <f t="shared" ref="M59" si="20">AVERAGE(M49:M58)</f>
        <v>7.0999999999976637E-4</v>
      </c>
    </row>
    <row r="61" spans="1:29" ht="15.75" x14ac:dyDescent="0.25">
      <c r="A61" s="90" t="s">
        <v>247</v>
      </c>
      <c r="B61" s="54" t="s">
        <v>197</v>
      </c>
      <c r="C61" s="54" t="s">
        <v>198</v>
      </c>
      <c r="D61" s="54" t="s">
        <v>199</v>
      </c>
      <c r="E61" s="54" t="s">
        <v>200</v>
      </c>
      <c r="F61" s="54" t="s">
        <v>201</v>
      </c>
      <c r="G61" s="54" t="s">
        <v>202</v>
      </c>
      <c r="H61" s="54" t="s">
        <v>203</v>
      </c>
      <c r="I61" s="54" t="s">
        <v>204</v>
      </c>
      <c r="J61" s="54" t="s">
        <v>205</v>
      </c>
      <c r="K61" s="54" t="s">
        <v>206</v>
      </c>
      <c r="L61" s="54" t="s">
        <v>207</v>
      </c>
      <c r="M61" s="78" t="s">
        <v>208</v>
      </c>
      <c r="AC61" t="s">
        <v>248</v>
      </c>
    </row>
    <row r="62" spans="1:29" x14ac:dyDescent="0.2">
      <c r="A62" s="69" t="s">
        <v>229</v>
      </c>
      <c r="B62" s="61">
        <f>H11</f>
        <v>2.4037037037016873E-4</v>
      </c>
      <c r="C62" s="61">
        <f>H10</f>
        <v>4.0037037037032874E-4</v>
      </c>
      <c r="D62" s="61">
        <f>H9</f>
        <v>2.903703703700522E-4</v>
      </c>
      <c r="E62" s="61"/>
      <c r="F62" s="61">
        <f>H8</f>
        <v>-4.7962962962966316E-4</v>
      </c>
      <c r="G62" s="61"/>
      <c r="H62" s="61">
        <f>H7</f>
        <v>-1.6962962962985273E-4</v>
      </c>
      <c r="I62" s="61">
        <f>H6</f>
        <v>-5.2962962962999072E-4</v>
      </c>
      <c r="J62" s="61">
        <f>H5</f>
        <v>-2.4962962962993274E-4</v>
      </c>
      <c r="K62" s="61">
        <f>H4</f>
        <v>-1.1962962962996926E-4</v>
      </c>
      <c r="L62" s="61">
        <f>H3</f>
        <v>1.5037037037002321E-4</v>
      </c>
      <c r="M62" s="79">
        <f>H2</f>
        <v>2.3037037037010322E-4</v>
      </c>
    </row>
    <row r="63" spans="1:29" x14ac:dyDescent="0.2">
      <c r="A63" s="69" t="s">
        <v>230</v>
      </c>
      <c r="B63" s="61">
        <f>H20</f>
        <v>3.1037037037018322E-4</v>
      </c>
      <c r="C63" s="61">
        <f>H19</f>
        <v>3.7037037037013221E-4</v>
      </c>
      <c r="D63" s="61">
        <f>H17</f>
        <v>1.6037037037008872E-4</v>
      </c>
      <c r="E63" s="61">
        <f>H16</f>
        <v>-5.9629629629576186E-5</v>
      </c>
      <c r="F63" s="60"/>
      <c r="G63" s="61">
        <f>H15</f>
        <v>-4.1962962962971417E-4</v>
      </c>
      <c r="H63" s="60"/>
      <c r="I63" s="61">
        <f>H14</f>
        <v>-4.396296296298452E-4</v>
      </c>
      <c r="J63" s="60"/>
      <c r="K63" s="61">
        <f>H13</f>
        <v>-2.196296296297362E-4</v>
      </c>
      <c r="L63" s="60"/>
      <c r="M63" s="79">
        <f>H12</f>
        <v>2.5037037037023424E-4</v>
      </c>
    </row>
    <row r="64" spans="1:29" x14ac:dyDescent="0.2">
      <c r="A64" s="69"/>
      <c r="B64" s="61"/>
      <c r="C64" s="61">
        <f>H18</f>
        <v>3.0037037037011771E-4</v>
      </c>
      <c r="D64" s="61"/>
      <c r="E64" s="61"/>
      <c r="F64" s="60"/>
      <c r="G64" s="61"/>
      <c r="H64" s="60"/>
      <c r="I64" s="61"/>
      <c r="J64" s="60"/>
      <c r="K64" s="61"/>
      <c r="L64" s="60"/>
      <c r="M64" s="79"/>
    </row>
    <row r="65" spans="1:13" x14ac:dyDescent="0.2">
      <c r="A65" s="69" t="s">
        <v>231</v>
      </c>
      <c r="B65" s="60"/>
      <c r="C65" s="60"/>
      <c r="D65" s="60"/>
      <c r="E65" s="60"/>
      <c r="F65" s="60"/>
      <c r="G65" s="60"/>
      <c r="H65" s="60"/>
      <c r="I65" s="60"/>
      <c r="J65" s="60"/>
      <c r="K65" s="61">
        <f>H21</f>
        <v>-2.9962962962981621E-4</v>
      </c>
      <c r="L65" s="60"/>
      <c r="M65" s="80"/>
    </row>
    <row r="66" spans="1:13" x14ac:dyDescent="0.2">
      <c r="A66" s="69" t="s">
        <v>232</v>
      </c>
      <c r="B66" s="60"/>
      <c r="C66" s="61">
        <f>H22</f>
        <v>3.4037037037037976E-4</v>
      </c>
      <c r="D66" s="60"/>
      <c r="E66" s="60"/>
      <c r="F66" s="60"/>
      <c r="G66" s="60"/>
      <c r="H66" s="60"/>
      <c r="I66" s="60"/>
      <c r="J66" s="60"/>
      <c r="K66" s="60"/>
      <c r="L66" s="60"/>
      <c r="M66" s="80"/>
    </row>
    <row r="67" spans="1:13" x14ac:dyDescent="0.2">
      <c r="A67" s="69" t="s">
        <v>233</v>
      </c>
      <c r="B67" s="60"/>
      <c r="C67" s="60"/>
      <c r="D67" s="60"/>
      <c r="E67" s="60"/>
      <c r="F67" s="61">
        <f>H23</f>
        <v>-3.1962962962994723E-4</v>
      </c>
      <c r="G67" s="60"/>
      <c r="H67" s="60"/>
      <c r="I67" s="60"/>
      <c r="J67" s="60"/>
      <c r="K67" s="60"/>
      <c r="L67" s="60"/>
      <c r="M67" s="80"/>
    </row>
    <row r="68" spans="1:13" x14ac:dyDescent="0.2">
      <c r="A68" s="69" t="s">
        <v>234</v>
      </c>
      <c r="B68" s="60"/>
      <c r="C68" s="61">
        <f>H24</f>
        <v>2.6037037037029975E-4</v>
      </c>
      <c r="D68" s="60"/>
      <c r="E68" s="60"/>
      <c r="F68" s="60"/>
      <c r="G68" s="60"/>
      <c r="H68" s="60"/>
      <c r="I68" s="60"/>
      <c r="J68" s="60"/>
      <c r="K68" s="60"/>
      <c r="L68" s="60"/>
      <c r="M68" s="80"/>
    </row>
    <row r="69" spans="1:13" x14ac:dyDescent="0.2">
      <c r="A69" s="69" t="s">
        <v>235</v>
      </c>
      <c r="B69" s="61">
        <f>H25</f>
        <v>4.5037037037021221E-4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80"/>
    </row>
    <row r="70" spans="1:13" x14ac:dyDescent="0.2">
      <c r="A70" s="69" t="s">
        <v>236</v>
      </c>
      <c r="B70" s="60"/>
      <c r="C70" s="60"/>
      <c r="D70" s="60"/>
      <c r="E70" s="60"/>
      <c r="F70" s="60"/>
      <c r="G70" s="60"/>
      <c r="H70" s="61">
        <f>H26</f>
        <v>-4.6962962962959764E-4</v>
      </c>
      <c r="I70" s="60"/>
      <c r="J70" s="60"/>
      <c r="K70" s="60"/>
      <c r="L70" s="60"/>
      <c r="M70" s="80"/>
    </row>
    <row r="71" spans="1:13" x14ac:dyDescent="0.2">
      <c r="A71" s="69" t="s">
        <v>237</v>
      </c>
      <c r="B71" s="60"/>
      <c r="C71" s="60"/>
      <c r="D71" s="60"/>
      <c r="E71" s="61">
        <f>H28</f>
        <v>4.6037037037027773E-4</v>
      </c>
      <c r="F71" s="60"/>
      <c r="G71" s="61">
        <f>H27</f>
        <v>-4.396296296298452E-4</v>
      </c>
      <c r="H71" s="60"/>
      <c r="I71" s="60"/>
      <c r="J71" s="60"/>
      <c r="K71" s="60"/>
      <c r="L71" s="60"/>
      <c r="M71" s="80"/>
    </row>
    <row r="72" spans="1:13" x14ac:dyDescent="0.2">
      <c r="A72" s="83" t="s">
        <v>239</v>
      </c>
      <c r="B72" s="84">
        <f>AVERAGE(B62:B71)</f>
        <v>3.3370370370352137E-4</v>
      </c>
      <c r="C72" s="84">
        <f t="shared" ref="C72" si="21">AVERAGE(C62:C71)</f>
        <v>3.3437037037025162E-4</v>
      </c>
      <c r="D72" s="84">
        <f t="shared" ref="D72" si="22">AVERAGE(D62:D71)</f>
        <v>2.2537037037007046E-4</v>
      </c>
      <c r="E72" s="84">
        <f t="shared" ref="E72" si="23">AVERAGE(E62:E71)</f>
        <v>2.0037037037035077E-4</v>
      </c>
      <c r="F72" s="84">
        <f t="shared" ref="F72" si="24">AVERAGE(F62:F71)</f>
        <v>-3.9962962962980519E-4</v>
      </c>
      <c r="G72" s="84">
        <f t="shared" ref="G72" si="25">AVERAGE(G62:G71)</f>
        <v>-4.2962962962977969E-4</v>
      </c>
      <c r="H72" s="84">
        <f t="shared" ref="H72" si="26">AVERAGE(H62:H71)</f>
        <v>-3.1962962962972519E-4</v>
      </c>
      <c r="I72" s="84">
        <f t="shared" ref="I72" si="27">AVERAGE(I62:I71)</f>
        <v>-4.8462962962991796E-4</v>
      </c>
      <c r="J72" s="84">
        <f t="shared" ref="J72" si="28">AVERAGE(J62:J71)</f>
        <v>-2.4962962962993274E-4</v>
      </c>
      <c r="K72" s="84">
        <f t="shared" ref="K72" si="29">AVERAGE(K62:K71)</f>
        <v>-2.1296296296317388E-4</v>
      </c>
      <c r="L72" s="84">
        <f t="shared" ref="L72" si="30">AVERAGE(L62:L71)</f>
        <v>1.5037037037002321E-4</v>
      </c>
      <c r="M72" s="85">
        <f t="shared" ref="M72" si="31">AVERAGE(M62:M71)</f>
        <v>2.4037037037016873E-4</v>
      </c>
    </row>
    <row r="74" spans="1:13" x14ac:dyDescent="0.2">
      <c r="A74" t="s">
        <v>247</v>
      </c>
      <c r="B74" t="s">
        <v>197</v>
      </c>
      <c r="C74" t="s">
        <v>198</v>
      </c>
      <c r="D74" t="s">
        <v>199</v>
      </c>
      <c r="E74" t="s">
        <v>200</v>
      </c>
      <c r="F74" t="s">
        <v>201</v>
      </c>
      <c r="G74" t="s">
        <v>202</v>
      </c>
      <c r="H74" t="s">
        <v>203</v>
      </c>
      <c r="I74" t="s">
        <v>204</v>
      </c>
      <c r="J74" t="s">
        <v>205</v>
      </c>
      <c r="K74" t="s">
        <v>206</v>
      </c>
      <c r="L74" t="s">
        <v>207</v>
      </c>
      <c r="M74" t="s">
        <v>208</v>
      </c>
    </row>
    <row r="75" spans="1:13" x14ac:dyDescent="0.2">
      <c r="A75" t="s">
        <v>229</v>
      </c>
      <c r="B75">
        <v>2.4037037037016873E-4</v>
      </c>
      <c r="C75">
        <v>4.0037037037032874E-4</v>
      </c>
      <c r="D75">
        <v>2.903703703700522E-4</v>
      </c>
      <c r="F75">
        <v>-4.7962962962966316E-4</v>
      </c>
      <c r="I75">
        <v>-5.2962962962999072E-4</v>
      </c>
      <c r="J75">
        <v>-2.4962962962993274E-4</v>
      </c>
      <c r="K75">
        <v>-1.1962962962996926E-4</v>
      </c>
      <c r="L75">
        <v>1.5037037037002321E-4</v>
      </c>
      <c r="M75">
        <v>2.3037037037010322E-4</v>
      </c>
    </row>
    <row r="76" spans="1:13" x14ac:dyDescent="0.2">
      <c r="A76" t="s">
        <v>230</v>
      </c>
      <c r="B76">
        <v>3.1037037037018322E-4</v>
      </c>
      <c r="C76">
        <v>3.7037037037013221E-4</v>
      </c>
      <c r="D76">
        <v>1.6037037037008872E-4</v>
      </c>
      <c r="E76">
        <v>-5.9629629629576186E-5</v>
      </c>
      <c r="G76">
        <v>-4.1962962962971417E-4</v>
      </c>
      <c r="I76">
        <v>-4.396296296298452E-4</v>
      </c>
      <c r="K76">
        <v>-2.196296296297362E-4</v>
      </c>
      <c r="M76">
        <v>2.5037037037023424E-4</v>
      </c>
    </row>
    <row r="77" spans="1:13" x14ac:dyDescent="0.2">
      <c r="C77">
        <v>3.0037037037011771E-4</v>
      </c>
    </row>
    <row r="78" spans="1:13" x14ac:dyDescent="0.2">
      <c r="A78" t="s">
        <v>239</v>
      </c>
      <c r="B78">
        <v>3.3370370370352137E-4</v>
      </c>
      <c r="C78">
        <v>3.3437037037025162E-4</v>
      </c>
      <c r="D78">
        <v>2.2537037037007046E-4</v>
      </c>
      <c r="E78">
        <v>2.0037037037035077E-4</v>
      </c>
      <c r="F78">
        <v>-3.9962962962980519E-4</v>
      </c>
      <c r="G78">
        <v>-4.2962962962977969E-4</v>
      </c>
      <c r="H78">
        <v>-3.1962962962972519E-4</v>
      </c>
      <c r="I78">
        <v>-4.8462962962991796E-4</v>
      </c>
      <c r="J78">
        <v>-2.4962962962993274E-4</v>
      </c>
      <c r="K78">
        <v>-2.1296296296317388E-4</v>
      </c>
      <c r="L78">
        <v>1.5037037037002321E-4</v>
      </c>
      <c r="M78">
        <v>2.4037037037016873E-4</v>
      </c>
    </row>
    <row r="83" spans="8:8" x14ac:dyDescent="0.2">
      <c r="H83">
        <v>-1.6962962962985273E-4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DEC4-AA2B-4A23-9DC3-2F3D6C8BC264}">
  <sheetPr codeName="Sheet12"/>
  <dimension ref="A1:L157"/>
  <sheetViews>
    <sheetView topLeftCell="G127" zoomScaleNormal="100" workbookViewId="0">
      <selection activeCell="O28" sqref="O28"/>
    </sheetView>
  </sheetViews>
  <sheetFormatPr defaultRowHeight="15" x14ac:dyDescent="0.2"/>
  <cols>
    <col min="3" max="4" width="9.33203125" bestFit="1" customWidth="1"/>
  </cols>
  <sheetData>
    <row r="1" spans="1:12" x14ac:dyDescent="0.2">
      <c r="A1" t="s">
        <v>250</v>
      </c>
      <c r="B1" t="s">
        <v>209</v>
      </c>
      <c r="C1" t="s">
        <v>209</v>
      </c>
      <c r="D1" t="s">
        <v>251</v>
      </c>
      <c r="E1" t="s">
        <v>252</v>
      </c>
      <c r="F1" t="s">
        <v>253</v>
      </c>
    </row>
    <row r="2" spans="1:12" x14ac:dyDescent="0.2">
      <c r="A2">
        <v>2018</v>
      </c>
      <c r="B2" s="20">
        <v>43111</v>
      </c>
      <c r="C2">
        <v>1</v>
      </c>
      <c r="D2">
        <v>11</v>
      </c>
      <c r="E2">
        <v>24.4</v>
      </c>
      <c r="F2" s="30">
        <v>31.664516129032261</v>
      </c>
      <c r="L2" s="30"/>
    </row>
    <row r="3" spans="1:12" x14ac:dyDescent="0.2">
      <c r="A3">
        <v>2018</v>
      </c>
      <c r="B3" s="20">
        <v>43157</v>
      </c>
      <c r="C3">
        <v>2</v>
      </c>
      <c r="D3">
        <v>26</v>
      </c>
      <c r="E3">
        <v>24.3</v>
      </c>
      <c r="F3" s="30">
        <v>28</v>
      </c>
      <c r="L3" s="30"/>
    </row>
    <row r="4" spans="1:12" x14ac:dyDescent="0.2">
      <c r="A4">
        <v>2018</v>
      </c>
      <c r="B4" s="20">
        <v>43158</v>
      </c>
      <c r="C4">
        <v>2</v>
      </c>
      <c r="D4">
        <v>27</v>
      </c>
      <c r="E4">
        <v>24.9</v>
      </c>
      <c r="F4" s="30">
        <v>28</v>
      </c>
      <c r="L4" s="30"/>
    </row>
    <row r="5" spans="1:12" x14ac:dyDescent="0.2">
      <c r="A5">
        <v>2018</v>
      </c>
      <c r="B5" s="20">
        <v>43186</v>
      </c>
      <c r="C5">
        <v>3</v>
      </c>
      <c r="D5">
        <v>27</v>
      </c>
      <c r="E5">
        <v>25.2</v>
      </c>
      <c r="F5" s="30">
        <v>30.102941176470594</v>
      </c>
      <c r="L5" s="30"/>
    </row>
    <row r="6" spans="1:12" x14ac:dyDescent="0.2">
      <c r="A6">
        <v>2018</v>
      </c>
      <c r="B6" s="20">
        <v>43220</v>
      </c>
      <c r="C6">
        <v>4</v>
      </c>
      <c r="D6">
        <v>30</v>
      </c>
      <c r="E6">
        <v>30.5</v>
      </c>
      <c r="F6" s="30">
        <v>26.500000000000004</v>
      </c>
      <c r="L6" s="30"/>
    </row>
    <row r="7" spans="1:12" x14ac:dyDescent="0.2">
      <c r="A7">
        <v>2018</v>
      </c>
      <c r="B7" s="20">
        <v>43265</v>
      </c>
      <c r="C7">
        <v>6</v>
      </c>
      <c r="D7">
        <v>14</v>
      </c>
      <c r="E7">
        <v>20.5</v>
      </c>
      <c r="F7" s="30">
        <v>19.31666666666667</v>
      </c>
      <c r="L7" s="30"/>
    </row>
    <row r="8" spans="1:12" x14ac:dyDescent="0.2">
      <c r="A8">
        <v>2018</v>
      </c>
      <c r="B8" s="20">
        <v>43342</v>
      </c>
      <c r="C8">
        <v>8</v>
      </c>
      <c r="D8">
        <v>30</v>
      </c>
      <c r="E8">
        <v>17.2</v>
      </c>
      <c r="F8" s="30">
        <v>18.461290322580645</v>
      </c>
      <c r="L8" s="30"/>
    </row>
    <row r="9" spans="1:12" x14ac:dyDescent="0.2">
      <c r="A9">
        <v>2018</v>
      </c>
      <c r="B9" s="20">
        <v>43384</v>
      </c>
      <c r="C9">
        <v>10</v>
      </c>
      <c r="D9">
        <v>11</v>
      </c>
      <c r="E9">
        <v>24.2</v>
      </c>
      <c r="F9" s="30">
        <v>23.754838709677419</v>
      </c>
      <c r="L9" s="30"/>
    </row>
    <row r="10" spans="1:12" x14ac:dyDescent="0.2">
      <c r="A10">
        <v>2018</v>
      </c>
      <c r="B10" s="20">
        <v>43440</v>
      </c>
      <c r="C10">
        <v>12</v>
      </c>
      <c r="D10">
        <v>6</v>
      </c>
      <c r="E10">
        <v>22.8</v>
      </c>
      <c r="F10" s="30">
        <v>30.299999999999997</v>
      </c>
      <c r="L10" s="30"/>
    </row>
    <row r="11" spans="1:12" x14ac:dyDescent="0.2">
      <c r="A11">
        <v>2019</v>
      </c>
      <c r="B11" s="20">
        <v>43474</v>
      </c>
      <c r="C11">
        <v>1</v>
      </c>
      <c r="D11">
        <v>9</v>
      </c>
      <c r="E11">
        <v>31.5</v>
      </c>
      <c r="F11" s="30">
        <v>31.332258064516132</v>
      </c>
      <c r="L11" s="30"/>
    </row>
    <row r="12" spans="1:12" x14ac:dyDescent="0.2">
      <c r="A12">
        <v>2019</v>
      </c>
      <c r="B12" s="20">
        <v>43508</v>
      </c>
      <c r="C12">
        <v>2</v>
      </c>
      <c r="D12">
        <v>12</v>
      </c>
      <c r="E12">
        <v>28.9</v>
      </c>
      <c r="F12" s="30">
        <v>28</v>
      </c>
    </row>
    <row r="13" spans="1:12" x14ac:dyDescent="0.2">
      <c r="A13">
        <v>2019</v>
      </c>
      <c r="B13" s="20">
        <v>43536</v>
      </c>
      <c r="C13">
        <v>3</v>
      </c>
      <c r="D13">
        <v>12</v>
      </c>
      <c r="E13">
        <v>32</v>
      </c>
      <c r="F13" s="30">
        <v>31.176470588235293</v>
      </c>
    </row>
    <row r="14" spans="1:12" x14ac:dyDescent="0.2">
      <c r="A14">
        <v>2019</v>
      </c>
      <c r="B14" s="20">
        <v>43587</v>
      </c>
      <c r="C14">
        <v>5</v>
      </c>
      <c r="D14">
        <v>2</v>
      </c>
      <c r="E14">
        <v>19.899999999999999</v>
      </c>
      <c r="F14" s="30">
        <v>22.5</v>
      </c>
    </row>
    <row r="15" spans="1:12" x14ac:dyDescent="0.2">
      <c r="A15">
        <v>2019</v>
      </c>
      <c r="B15" s="20">
        <v>43647</v>
      </c>
      <c r="C15">
        <v>7</v>
      </c>
      <c r="D15">
        <v>1</v>
      </c>
      <c r="E15">
        <v>19.2</v>
      </c>
      <c r="F15" s="30">
        <v>19.293548387096777</v>
      </c>
    </row>
    <row r="16" spans="1:12" x14ac:dyDescent="0.2">
      <c r="A16">
        <v>2019</v>
      </c>
      <c r="B16" s="20">
        <v>43678</v>
      </c>
      <c r="C16">
        <v>8</v>
      </c>
      <c r="D16">
        <v>1</v>
      </c>
      <c r="E16">
        <v>20.9</v>
      </c>
      <c r="F16" s="30">
        <v>20.229032258064514</v>
      </c>
    </row>
    <row r="17" spans="1:10" x14ac:dyDescent="0.2">
      <c r="A17">
        <v>2019</v>
      </c>
      <c r="B17" s="20">
        <v>43719</v>
      </c>
      <c r="C17">
        <v>9</v>
      </c>
      <c r="D17">
        <v>11</v>
      </c>
      <c r="E17">
        <v>23.4</v>
      </c>
      <c r="F17" s="30">
        <v>23.103333333333332</v>
      </c>
    </row>
    <row r="18" spans="1:10" x14ac:dyDescent="0.2">
      <c r="A18">
        <v>2019</v>
      </c>
      <c r="B18" s="20">
        <v>43762</v>
      </c>
      <c r="C18">
        <v>10</v>
      </c>
      <c r="D18">
        <v>24</v>
      </c>
      <c r="E18">
        <v>21.3</v>
      </c>
      <c r="F18" s="30">
        <v>24.709677419354836</v>
      </c>
    </row>
    <row r="19" spans="1:10" x14ac:dyDescent="0.2">
      <c r="A19">
        <v>2019</v>
      </c>
      <c r="B19" s="20">
        <v>43790</v>
      </c>
      <c r="C19">
        <v>11</v>
      </c>
      <c r="D19">
        <v>21</v>
      </c>
      <c r="E19">
        <v>24.2</v>
      </c>
      <c r="F19" s="30">
        <v>29.843333333333337</v>
      </c>
    </row>
    <row r="20" spans="1:10" x14ac:dyDescent="0.2">
      <c r="A20">
        <v>2019</v>
      </c>
      <c r="B20" s="20">
        <v>43809</v>
      </c>
      <c r="C20">
        <v>12</v>
      </c>
      <c r="D20">
        <v>10</v>
      </c>
      <c r="E20">
        <v>37</v>
      </c>
      <c r="F20" s="30">
        <v>36.852941176470587</v>
      </c>
    </row>
    <row r="22" spans="1:10" ht="15.75" x14ac:dyDescent="0.25">
      <c r="A22" s="12" t="s">
        <v>226</v>
      </c>
      <c r="F22" t="s">
        <v>240</v>
      </c>
      <c r="G22" t="s">
        <v>241</v>
      </c>
      <c r="J22" t="s">
        <v>254</v>
      </c>
    </row>
    <row r="23" spans="1:10" x14ac:dyDescent="0.2">
      <c r="A23" s="99">
        <f>B23</f>
        <v>37350</v>
      </c>
      <c r="B23" s="81">
        <f>C23</f>
        <v>37350</v>
      </c>
      <c r="C23" s="94">
        <v>37350</v>
      </c>
      <c r="D23" s="54" t="s">
        <v>83</v>
      </c>
      <c r="E23" s="55">
        <v>3.8039000000000001</v>
      </c>
      <c r="F23" s="55">
        <v>9.2999999999987537E-4</v>
      </c>
      <c r="G23" s="55">
        <f t="shared" ref="G23:G49" si="0">E23-$E$32</f>
        <v>9.0000000000145519E-5</v>
      </c>
      <c r="H23" s="56"/>
      <c r="I23" s="56"/>
      <c r="J23" s="78"/>
    </row>
    <row r="24" spans="1:10" x14ac:dyDescent="0.2">
      <c r="A24" s="100">
        <f t="shared" ref="A24:A49" si="1">B24</f>
        <v>37427</v>
      </c>
      <c r="B24" s="82">
        <f t="shared" ref="B24:B49" si="2">C24</f>
        <v>37427</v>
      </c>
      <c r="C24" s="95">
        <v>37427</v>
      </c>
      <c r="D24" s="60" t="s">
        <v>82</v>
      </c>
      <c r="E24" s="61">
        <v>3.8029999999999999</v>
      </c>
      <c r="F24" s="61">
        <v>2.9999999999752447E-5</v>
      </c>
      <c r="G24" s="61">
        <f t="shared" si="0"/>
        <v>-8.099999999999774E-4</v>
      </c>
      <c r="H24" s="62"/>
      <c r="I24" s="62"/>
      <c r="J24" s="80"/>
    </row>
    <row r="25" spans="1:10" x14ac:dyDescent="0.2">
      <c r="A25" s="100">
        <f>B25</f>
        <v>39288</v>
      </c>
      <c r="B25" s="82">
        <f t="shared" si="2"/>
        <v>39288</v>
      </c>
      <c r="C25" s="95">
        <v>39288</v>
      </c>
      <c r="D25" s="60" t="s">
        <v>81</v>
      </c>
      <c r="E25" s="61">
        <v>3.8029700000000002</v>
      </c>
      <c r="F25" s="61">
        <v>0</v>
      </c>
      <c r="G25" s="61">
        <f t="shared" si="0"/>
        <v>-8.3999999999972985E-4</v>
      </c>
      <c r="H25" s="62"/>
      <c r="I25" s="62"/>
      <c r="J25" s="80"/>
    </row>
    <row r="26" spans="1:10" x14ac:dyDescent="0.2">
      <c r="A26" s="100">
        <f t="shared" si="1"/>
        <v>39841</v>
      </c>
      <c r="B26" s="82">
        <f t="shared" si="2"/>
        <v>39841</v>
      </c>
      <c r="C26" s="95">
        <v>39841</v>
      </c>
      <c r="D26" s="60" t="s">
        <v>80</v>
      </c>
      <c r="E26" s="61">
        <v>3.80389</v>
      </c>
      <c r="F26" s="61">
        <v>9.1999999999980986E-4</v>
      </c>
      <c r="G26" s="61">
        <f t="shared" si="0"/>
        <v>8.0000000000080007E-5</v>
      </c>
      <c r="H26" s="62"/>
      <c r="I26" s="62"/>
      <c r="J26" s="80"/>
    </row>
    <row r="27" spans="1:10" x14ac:dyDescent="0.2">
      <c r="A27" s="100">
        <f t="shared" si="1"/>
        <v>40595</v>
      </c>
      <c r="B27" s="82">
        <f t="shared" si="2"/>
        <v>40595</v>
      </c>
      <c r="C27" s="95">
        <v>40595</v>
      </c>
      <c r="D27" s="60" t="s">
        <v>32</v>
      </c>
      <c r="E27" s="61">
        <v>3.8037000000000001</v>
      </c>
      <c r="F27" s="61">
        <v>7.299999999998974E-4</v>
      </c>
      <c r="G27" s="61">
        <f t="shared" si="0"/>
        <v>-1.0999999999983245E-4</v>
      </c>
      <c r="H27" s="62"/>
      <c r="I27" s="62"/>
      <c r="J27" s="80"/>
    </row>
    <row r="28" spans="1:10" x14ac:dyDescent="0.2">
      <c r="A28" s="100">
        <f t="shared" si="1"/>
        <v>41422</v>
      </c>
      <c r="B28" s="82">
        <f t="shared" si="2"/>
        <v>41422</v>
      </c>
      <c r="C28" s="95">
        <v>41422</v>
      </c>
      <c r="D28" s="60" t="s">
        <v>79</v>
      </c>
      <c r="E28" s="61">
        <v>3.8031199999999998</v>
      </c>
      <c r="F28" s="61">
        <v>1.4999999999965041E-4</v>
      </c>
      <c r="G28" s="61">
        <f t="shared" si="0"/>
        <v>-6.9000000000007944E-4</v>
      </c>
      <c r="H28" s="62"/>
      <c r="I28" s="62"/>
      <c r="J28" s="80"/>
    </row>
    <row r="29" spans="1:10" x14ac:dyDescent="0.2">
      <c r="A29" s="100">
        <f t="shared" si="1"/>
        <v>42054</v>
      </c>
      <c r="B29" s="82">
        <f t="shared" si="2"/>
        <v>42054</v>
      </c>
      <c r="C29" s="95">
        <v>42054</v>
      </c>
      <c r="D29" s="60" t="s">
        <v>46</v>
      </c>
      <c r="E29" s="61">
        <v>3.8037800000000002</v>
      </c>
      <c r="F29" s="61">
        <v>8.099999999999774E-4</v>
      </c>
      <c r="G29" s="61">
        <f t="shared" si="0"/>
        <v>-2.9999999999752447E-5</v>
      </c>
      <c r="H29" s="62"/>
      <c r="I29" s="62"/>
      <c r="J29" s="80"/>
    </row>
    <row r="30" spans="1:10" x14ac:dyDescent="0.2">
      <c r="A30" s="100">
        <f t="shared" si="1"/>
        <v>43027</v>
      </c>
      <c r="B30" s="82">
        <f t="shared" si="2"/>
        <v>43027</v>
      </c>
      <c r="C30" s="95">
        <v>43027</v>
      </c>
      <c r="D30" s="60" t="s">
        <v>52</v>
      </c>
      <c r="E30" s="61">
        <v>3.80314</v>
      </c>
      <c r="F30" s="61">
        <v>1.6999999999978144E-4</v>
      </c>
      <c r="G30" s="61">
        <f t="shared" si="0"/>
        <v>-6.6999999999994841E-4</v>
      </c>
      <c r="H30" s="62">
        <v>24.2</v>
      </c>
      <c r="I30" s="62">
        <v>22.6</v>
      </c>
      <c r="J30" s="63">
        <f>AVERAGE(H30:I30)</f>
        <v>23.4</v>
      </c>
    </row>
    <row r="31" spans="1:10" x14ac:dyDescent="0.2">
      <c r="A31" s="100">
        <f t="shared" si="1"/>
        <v>43111</v>
      </c>
      <c r="B31" s="82">
        <f t="shared" si="2"/>
        <v>43111</v>
      </c>
      <c r="C31" s="95">
        <v>43111</v>
      </c>
      <c r="D31" s="60" t="s">
        <v>37</v>
      </c>
      <c r="E31" s="61">
        <v>3.80375</v>
      </c>
      <c r="F31" s="61">
        <v>7.7999999999978087E-4</v>
      </c>
      <c r="G31" s="61">
        <f t="shared" si="0"/>
        <v>-5.9999999999948983E-5</v>
      </c>
      <c r="H31" s="62">
        <v>22.4</v>
      </c>
      <c r="I31" s="62">
        <v>23.6</v>
      </c>
      <c r="J31" s="63">
        <f t="shared" ref="J31:J49" si="3">AVERAGE(H31:I31)</f>
        <v>23</v>
      </c>
    </row>
    <row r="32" spans="1:10" x14ac:dyDescent="0.2">
      <c r="A32" s="100">
        <f t="shared" si="1"/>
        <v>43157</v>
      </c>
      <c r="B32" s="82">
        <f t="shared" si="2"/>
        <v>43157</v>
      </c>
      <c r="C32" s="95">
        <v>43157</v>
      </c>
      <c r="D32" s="60" t="s">
        <v>143</v>
      </c>
      <c r="E32" s="60">
        <v>3.8038099999999999</v>
      </c>
      <c r="F32" s="61">
        <v>8.3999999999972985E-4</v>
      </c>
      <c r="G32" s="61">
        <f t="shared" si="0"/>
        <v>0</v>
      </c>
      <c r="H32" s="62">
        <v>24</v>
      </c>
      <c r="I32" s="62">
        <v>25.5</v>
      </c>
      <c r="J32" s="63">
        <f t="shared" si="3"/>
        <v>24.75</v>
      </c>
    </row>
    <row r="33" spans="1:10" x14ac:dyDescent="0.2">
      <c r="A33" s="100">
        <f t="shared" si="1"/>
        <v>43158</v>
      </c>
      <c r="B33" s="82">
        <f t="shared" si="2"/>
        <v>43158</v>
      </c>
      <c r="C33" s="95">
        <v>43158</v>
      </c>
      <c r="D33" s="60" t="s">
        <v>144</v>
      </c>
      <c r="E33" s="60">
        <v>3.8037399999999999</v>
      </c>
      <c r="F33" s="61">
        <v>7.6999999999971536E-4</v>
      </c>
      <c r="G33" s="61">
        <f t="shared" si="0"/>
        <v>-7.0000000000014495E-5</v>
      </c>
      <c r="H33" s="62">
        <v>24</v>
      </c>
      <c r="I33" s="62">
        <v>25.5</v>
      </c>
      <c r="J33" s="63">
        <f t="shared" si="3"/>
        <v>24.75</v>
      </c>
    </row>
    <row r="34" spans="1:10" x14ac:dyDescent="0.2">
      <c r="A34" s="100">
        <f t="shared" si="1"/>
        <v>43186</v>
      </c>
      <c r="B34" s="82">
        <f t="shared" si="2"/>
        <v>43186</v>
      </c>
      <c r="C34" s="95">
        <v>43186</v>
      </c>
      <c r="D34" s="60" t="s">
        <v>190</v>
      </c>
      <c r="E34" s="61">
        <v>3.8035999999999999</v>
      </c>
      <c r="F34" s="61">
        <v>6.2999999999968637E-4</v>
      </c>
      <c r="G34" s="61">
        <f t="shared" si="0"/>
        <v>-2.1000000000004349E-4</v>
      </c>
      <c r="H34" s="62">
        <v>19.5</v>
      </c>
      <c r="I34" s="62">
        <v>22.7</v>
      </c>
      <c r="J34" s="63">
        <f t="shared" si="3"/>
        <v>21.1</v>
      </c>
    </row>
    <row r="35" spans="1:10" x14ac:dyDescent="0.2">
      <c r="A35" s="100">
        <f t="shared" si="1"/>
        <v>43220</v>
      </c>
      <c r="B35" s="82">
        <f t="shared" si="2"/>
        <v>43220</v>
      </c>
      <c r="C35" s="95">
        <v>43220</v>
      </c>
      <c r="D35" s="60" t="s">
        <v>193</v>
      </c>
      <c r="E35" s="61">
        <v>3.8033800000000002</v>
      </c>
      <c r="F35" s="61">
        <v>4.1000000000002146E-4</v>
      </c>
      <c r="G35" s="61">
        <f t="shared" si="0"/>
        <v>-4.2999999999970839E-4</v>
      </c>
      <c r="H35" s="62">
        <v>29.5</v>
      </c>
      <c r="I35" s="62">
        <v>30.3</v>
      </c>
      <c r="J35" s="63">
        <f t="shared" si="3"/>
        <v>29.9</v>
      </c>
    </row>
    <row r="36" spans="1:10" x14ac:dyDescent="0.2">
      <c r="A36" s="100">
        <f t="shared" si="1"/>
        <v>43265</v>
      </c>
      <c r="B36" s="82">
        <f t="shared" si="2"/>
        <v>43265</v>
      </c>
      <c r="C36" s="95">
        <v>43265</v>
      </c>
      <c r="D36" s="60" t="s">
        <v>194</v>
      </c>
      <c r="E36" s="61">
        <v>3.8030200000000001</v>
      </c>
      <c r="F36" s="61">
        <v>4.9999999999883471E-5</v>
      </c>
      <c r="G36" s="61">
        <f t="shared" si="0"/>
        <v>-7.8999999999984638E-4</v>
      </c>
      <c r="H36" s="62">
        <v>16</v>
      </c>
      <c r="I36" s="96">
        <v>18.100000000000001</v>
      </c>
      <c r="J36" s="63">
        <f t="shared" si="3"/>
        <v>17.05</v>
      </c>
    </row>
    <row r="37" spans="1:10" x14ac:dyDescent="0.2">
      <c r="A37" s="100">
        <f t="shared" si="1"/>
        <v>43342</v>
      </c>
      <c r="B37" s="82">
        <f t="shared" si="2"/>
        <v>43342</v>
      </c>
      <c r="C37" s="95">
        <v>43342</v>
      </c>
      <c r="D37" s="60" t="s">
        <v>196</v>
      </c>
      <c r="E37" s="61">
        <v>3.8029999999999999</v>
      </c>
      <c r="F37" s="61">
        <v>2.9999999999752447E-5</v>
      </c>
      <c r="G37" s="61">
        <f t="shared" si="0"/>
        <v>-8.099999999999774E-4</v>
      </c>
      <c r="H37" s="62">
        <v>16.600000000000001</v>
      </c>
      <c r="I37" s="96">
        <v>16.899999999999999</v>
      </c>
      <c r="J37" s="63">
        <f t="shared" si="3"/>
        <v>16.75</v>
      </c>
    </row>
    <row r="38" spans="1:10" x14ac:dyDescent="0.2">
      <c r="A38" s="100">
        <f t="shared" si="1"/>
        <v>43384</v>
      </c>
      <c r="B38" s="82">
        <f t="shared" si="2"/>
        <v>43384</v>
      </c>
      <c r="C38" s="95">
        <v>43384</v>
      </c>
      <c r="D38" s="60" t="s">
        <v>211</v>
      </c>
      <c r="E38" s="61">
        <v>3.80322</v>
      </c>
      <c r="F38" s="61">
        <v>2.4999999999986144E-4</v>
      </c>
      <c r="G38" s="61">
        <f t="shared" si="0"/>
        <v>-5.8999999999986841E-4</v>
      </c>
      <c r="H38" s="62">
        <v>23</v>
      </c>
      <c r="I38" s="62">
        <v>23</v>
      </c>
      <c r="J38" s="63">
        <f t="shared" si="3"/>
        <v>23</v>
      </c>
    </row>
    <row r="39" spans="1:10" x14ac:dyDescent="0.2">
      <c r="A39" s="100">
        <f t="shared" si="1"/>
        <v>43440</v>
      </c>
      <c r="B39" s="82">
        <f t="shared" si="2"/>
        <v>43440</v>
      </c>
      <c r="C39" s="95">
        <v>43440</v>
      </c>
      <c r="D39" s="60" t="s">
        <v>213</v>
      </c>
      <c r="E39" s="61">
        <v>3.80369</v>
      </c>
      <c r="F39" s="61">
        <v>7.1999999999983189E-4</v>
      </c>
      <c r="G39" s="61">
        <f t="shared" si="0"/>
        <v>-1.1999999999989797E-4</v>
      </c>
      <c r="H39" s="62">
        <v>19.25</v>
      </c>
      <c r="I39" s="62">
        <v>18.8</v>
      </c>
      <c r="J39" s="63">
        <f t="shared" si="3"/>
        <v>19.024999999999999</v>
      </c>
    </row>
    <row r="40" spans="1:10" x14ac:dyDescent="0.2">
      <c r="A40" s="100">
        <f t="shared" si="1"/>
        <v>43474</v>
      </c>
      <c r="B40" s="82">
        <f t="shared" si="2"/>
        <v>43474</v>
      </c>
      <c r="C40" s="95">
        <v>43474</v>
      </c>
      <c r="D40" s="60" t="s">
        <v>216</v>
      </c>
      <c r="E40" s="61">
        <v>3.8036799999999999</v>
      </c>
      <c r="F40" s="61">
        <v>7.0999999999976637E-4</v>
      </c>
      <c r="G40" s="61">
        <f t="shared" si="0"/>
        <v>-1.2999999999996348E-4</v>
      </c>
      <c r="H40" s="62">
        <v>28.05</v>
      </c>
      <c r="I40" s="62">
        <v>29.75</v>
      </c>
      <c r="J40" s="63">
        <f t="shared" si="3"/>
        <v>28.9</v>
      </c>
    </row>
    <row r="41" spans="1:10" x14ac:dyDescent="0.2">
      <c r="A41" s="100">
        <f t="shared" si="1"/>
        <v>43508</v>
      </c>
      <c r="B41" s="82">
        <f t="shared" si="2"/>
        <v>43508</v>
      </c>
      <c r="C41" s="95">
        <v>43508</v>
      </c>
      <c r="D41" s="60" t="s">
        <v>217</v>
      </c>
      <c r="E41" s="61">
        <v>3.8038400000000001</v>
      </c>
      <c r="F41" s="61">
        <v>8.6999999999992639E-4</v>
      </c>
      <c r="G41" s="61">
        <f t="shared" si="0"/>
        <v>3.0000000000196536E-5</v>
      </c>
      <c r="H41" s="62">
        <v>22.1</v>
      </c>
      <c r="I41" s="62">
        <v>23.9</v>
      </c>
      <c r="J41" s="63">
        <f t="shared" si="3"/>
        <v>23</v>
      </c>
    </row>
    <row r="42" spans="1:10" x14ac:dyDescent="0.2">
      <c r="A42" s="100">
        <f t="shared" si="1"/>
        <v>43536</v>
      </c>
      <c r="B42" s="82">
        <f t="shared" si="2"/>
        <v>43536</v>
      </c>
      <c r="C42" s="95">
        <v>43536</v>
      </c>
      <c r="D42" s="60" t="s">
        <v>218</v>
      </c>
      <c r="E42" s="61">
        <v>3.8037299999999998</v>
      </c>
      <c r="F42" s="61">
        <v>7.5999999999964984E-4</v>
      </c>
      <c r="G42" s="61">
        <f t="shared" si="0"/>
        <v>-8.0000000000080007E-5</v>
      </c>
      <c r="H42" s="62">
        <v>27.05</v>
      </c>
      <c r="I42" s="62">
        <v>28.9</v>
      </c>
      <c r="J42" s="63">
        <f t="shared" si="3"/>
        <v>27.975000000000001</v>
      </c>
    </row>
    <row r="43" spans="1:10" x14ac:dyDescent="0.2">
      <c r="A43" s="100">
        <f t="shared" si="1"/>
        <v>43587</v>
      </c>
      <c r="B43" s="82">
        <f t="shared" si="2"/>
        <v>43587</v>
      </c>
      <c r="C43" s="95">
        <v>43587</v>
      </c>
      <c r="D43" s="60" t="s">
        <v>219</v>
      </c>
      <c r="E43" s="61">
        <v>3.8029600000000001</v>
      </c>
      <c r="F43" s="61">
        <v>-1.0000000000065512E-5</v>
      </c>
      <c r="G43" s="61">
        <f t="shared" si="0"/>
        <v>-8.4999999999979536E-4</v>
      </c>
      <c r="H43" s="62">
        <v>16.55</v>
      </c>
      <c r="I43" s="62">
        <v>17.299999999999997</v>
      </c>
      <c r="J43" s="63">
        <f t="shared" si="3"/>
        <v>16.924999999999997</v>
      </c>
    </row>
    <row r="44" spans="1:10" x14ac:dyDescent="0.2">
      <c r="A44" s="100">
        <f t="shared" si="1"/>
        <v>43647</v>
      </c>
      <c r="B44" s="82">
        <f t="shared" si="2"/>
        <v>43647</v>
      </c>
      <c r="C44" s="95">
        <v>43647</v>
      </c>
      <c r="D44" s="60" t="s">
        <v>220</v>
      </c>
      <c r="E44" s="61">
        <v>3.8032699999999999</v>
      </c>
      <c r="F44" s="61">
        <v>2.9999999999974492E-4</v>
      </c>
      <c r="G44" s="61">
        <f t="shared" si="0"/>
        <v>-5.3999999999998494E-4</v>
      </c>
      <c r="H44" s="62">
        <v>18.25</v>
      </c>
      <c r="I44" s="62">
        <v>17.350000000000001</v>
      </c>
      <c r="J44" s="63">
        <f t="shared" si="3"/>
        <v>17.8</v>
      </c>
    </row>
    <row r="45" spans="1:10" x14ac:dyDescent="0.2">
      <c r="A45" s="100">
        <f t="shared" si="1"/>
        <v>43678</v>
      </c>
      <c r="B45" s="82">
        <f t="shared" si="2"/>
        <v>43678</v>
      </c>
      <c r="C45" s="95">
        <v>43678</v>
      </c>
      <c r="D45" s="60" t="s">
        <v>221</v>
      </c>
      <c r="E45" s="61">
        <v>3.8029099999999998</v>
      </c>
      <c r="F45" s="61">
        <v>-6.0000000000393072E-5</v>
      </c>
      <c r="G45" s="61">
        <f t="shared" si="0"/>
        <v>-9.0000000000012292E-4</v>
      </c>
      <c r="H45" s="62">
        <v>14.85</v>
      </c>
      <c r="I45" s="62">
        <v>16.700000000000003</v>
      </c>
      <c r="J45" s="63">
        <f t="shared" si="3"/>
        <v>15.775000000000002</v>
      </c>
    </row>
    <row r="46" spans="1:10" x14ac:dyDescent="0.2">
      <c r="A46" s="100">
        <f t="shared" si="1"/>
        <v>43719</v>
      </c>
      <c r="B46" s="82">
        <f t="shared" si="2"/>
        <v>43719</v>
      </c>
      <c r="C46" s="95">
        <v>43719</v>
      </c>
      <c r="D46" s="60" t="s">
        <v>222</v>
      </c>
      <c r="E46" s="61">
        <v>3.8031899999999998</v>
      </c>
      <c r="F46" s="61">
        <v>2.1999999999966491E-4</v>
      </c>
      <c r="G46" s="61">
        <f t="shared" si="0"/>
        <v>-6.2000000000006494E-4</v>
      </c>
      <c r="H46" s="62">
        <v>19.399999999999999</v>
      </c>
      <c r="I46" s="62">
        <v>19.649999999999999</v>
      </c>
      <c r="J46" s="63">
        <f t="shared" si="3"/>
        <v>19.524999999999999</v>
      </c>
    </row>
    <row r="47" spans="1:10" x14ac:dyDescent="0.2">
      <c r="A47" s="100">
        <f t="shared" si="1"/>
        <v>43762</v>
      </c>
      <c r="B47" s="82">
        <f t="shared" si="2"/>
        <v>43762</v>
      </c>
      <c r="C47" s="95">
        <v>43762</v>
      </c>
      <c r="D47" s="60" t="s">
        <v>223</v>
      </c>
      <c r="E47" s="61">
        <v>3.8033199999999998</v>
      </c>
      <c r="F47" s="61">
        <v>3.4999999999962839E-4</v>
      </c>
      <c r="G47" s="61">
        <f t="shared" si="0"/>
        <v>-4.9000000000010147E-4</v>
      </c>
      <c r="H47" s="62">
        <v>19.25</v>
      </c>
      <c r="I47" s="62">
        <v>19.100000000000001</v>
      </c>
      <c r="J47" s="63">
        <f t="shared" si="3"/>
        <v>19.175000000000001</v>
      </c>
    </row>
    <row r="48" spans="1:10" x14ac:dyDescent="0.2">
      <c r="A48" s="100">
        <f t="shared" si="1"/>
        <v>43790</v>
      </c>
      <c r="B48" s="82">
        <f t="shared" si="2"/>
        <v>43790</v>
      </c>
      <c r="C48" s="95">
        <v>43790</v>
      </c>
      <c r="D48" s="60" t="s">
        <v>224</v>
      </c>
      <c r="E48" s="61">
        <v>3.8035899999999998</v>
      </c>
      <c r="F48" s="61">
        <v>6.1999999999962085E-4</v>
      </c>
      <c r="G48" s="61">
        <f t="shared" si="0"/>
        <v>-2.20000000000109E-4</v>
      </c>
      <c r="H48" s="62">
        <v>20.5</v>
      </c>
      <c r="I48" s="62">
        <v>21.450000000000003</v>
      </c>
      <c r="J48" s="63">
        <f t="shared" si="3"/>
        <v>20.975000000000001</v>
      </c>
    </row>
    <row r="49" spans="1:10" x14ac:dyDescent="0.2">
      <c r="A49" s="100">
        <f t="shared" si="1"/>
        <v>43809</v>
      </c>
      <c r="B49" s="82">
        <f t="shared" si="2"/>
        <v>43809</v>
      </c>
      <c r="C49" s="95">
        <v>43809</v>
      </c>
      <c r="D49" s="60" t="s">
        <v>225</v>
      </c>
      <c r="E49" s="61">
        <v>3.8036699999999999</v>
      </c>
      <c r="F49" s="61">
        <v>6.9999999999970086E-4</v>
      </c>
      <c r="G49" s="61">
        <f t="shared" si="0"/>
        <v>-1.4000000000002899E-4</v>
      </c>
      <c r="H49" s="62">
        <v>27.95</v>
      </c>
      <c r="I49" s="62">
        <v>28.85</v>
      </c>
      <c r="J49" s="63">
        <f t="shared" si="3"/>
        <v>28.4</v>
      </c>
    </row>
    <row r="50" spans="1:10" x14ac:dyDescent="0.2">
      <c r="A50" s="101" t="s">
        <v>242</v>
      </c>
      <c r="B50" s="60"/>
      <c r="C50" s="60"/>
      <c r="D50" s="60"/>
      <c r="E50" s="61">
        <f>MIN(E23:E49)</f>
        <v>3.8029099999999998</v>
      </c>
      <c r="F50" s="61">
        <f t="shared" ref="F50:I50" si="4">MIN(F23:F49)</f>
        <v>-6.0000000000393072E-5</v>
      </c>
      <c r="G50" s="61">
        <f t="shared" si="4"/>
        <v>-9.0000000000012292E-4</v>
      </c>
      <c r="H50" s="62">
        <f t="shared" si="4"/>
        <v>14.85</v>
      </c>
      <c r="I50" s="62">
        <f t="shared" si="4"/>
        <v>16.700000000000003</v>
      </c>
      <c r="J50" s="80"/>
    </row>
    <row r="51" spans="1:10" x14ac:dyDescent="0.2">
      <c r="A51" s="101" t="s">
        <v>243</v>
      </c>
      <c r="B51" s="60"/>
      <c r="C51" s="60"/>
      <c r="D51" s="60"/>
      <c r="E51" s="61">
        <f>MAX(E23:E49)</f>
        <v>3.8039000000000001</v>
      </c>
      <c r="F51" s="61">
        <f t="shared" ref="F51:I51" si="5">MAX(F23:F49)</f>
        <v>9.2999999999987537E-4</v>
      </c>
      <c r="G51" s="61">
        <f t="shared" si="5"/>
        <v>9.0000000000145519E-5</v>
      </c>
      <c r="H51" s="62">
        <f t="shared" si="5"/>
        <v>29.5</v>
      </c>
      <c r="I51" s="62">
        <f t="shared" si="5"/>
        <v>30.3</v>
      </c>
      <c r="J51" s="80"/>
    </row>
    <row r="52" spans="1:10" x14ac:dyDescent="0.2">
      <c r="A52" s="101" t="s">
        <v>244</v>
      </c>
      <c r="B52" s="60"/>
      <c r="C52" s="60"/>
      <c r="D52" s="60"/>
      <c r="E52" s="61">
        <f>E51-E50</f>
        <v>9.9000000000026844E-4</v>
      </c>
      <c r="F52" s="61">
        <f t="shared" ref="F52:I52" si="6">F51-F50</f>
        <v>9.9000000000026844E-4</v>
      </c>
      <c r="G52" s="61">
        <f t="shared" si="6"/>
        <v>9.9000000000026844E-4</v>
      </c>
      <c r="H52" s="62">
        <f t="shared" si="6"/>
        <v>14.65</v>
      </c>
      <c r="I52" s="62">
        <f t="shared" si="6"/>
        <v>13.599999999999998</v>
      </c>
      <c r="J52" s="80"/>
    </row>
    <row r="53" spans="1:10" x14ac:dyDescent="0.2">
      <c r="A53" s="102" t="s">
        <v>239</v>
      </c>
      <c r="B53" s="71"/>
      <c r="C53" s="71"/>
      <c r="D53" s="71"/>
      <c r="E53" s="84">
        <f>AVERAGE(E23:E49)</f>
        <v>3.8034396296296284</v>
      </c>
      <c r="F53" s="84">
        <f t="shared" ref="F53:I53" si="7">AVERAGE(F23:F49)</f>
        <v>4.6962962962941675E-4</v>
      </c>
      <c r="G53" s="84">
        <f t="shared" si="7"/>
        <v>-3.7037037037031311E-4</v>
      </c>
      <c r="H53" s="103">
        <f t="shared" si="7"/>
        <v>21.62</v>
      </c>
      <c r="I53" s="103">
        <f t="shared" si="7"/>
        <v>22.497499999999999</v>
      </c>
      <c r="J53" s="72"/>
    </row>
    <row r="54" spans="1:10" x14ac:dyDescent="0.2">
      <c r="A54" s="97"/>
      <c r="B54" s="60"/>
      <c r="C54" s="60"/>
      <c r="D54" s="60"/>
      <c r="E54" s="89"/>
      <c r="F54" s="89"/>
      <c r="G54" s="89"/>
      <c r="H54" s="98"/>
      <c r="I54" s="98"/>
      <c r="J54" s="60"/>
    </row>
    <row r="55" spans="1:10" ht="15.75" x14ac:dyDescent="0.25">
      <c r="A55" s="107" t="s">
        <v>258</v>
      </c>
    </row>
    <row r="56" spans="1:10" x14ac:dyDescent="0.2">
      <c r="A56" s="77" t="s">
        <v>250</v>
      </c>
      <c r="B56" s="54"/>
      <c r="C56" s="54" t="s">
        <v>209</v>
      </c>
      <c r="D56" s="54" t="s">
        <v>251</v>
      </c>
      <c r="E56" s="54" t="s">
        <v>255</v>
      </c>
      <c r="F56" s="54" t="s">
        <v>252</v>
      </c>
      <c r="G56" s="104" t="s">
        <v>256</v>
      </c>
      <c r="H56" s="54" t="s">
        <v>257</v>
      </c>
      <c r="I56" s="54" t="s">
        <v>259</v>
      </c>
      <c r="J56" s="78"/>
    </row>
    <row r="57" spans="1:10" x14ac:dyDescent="0.2">
      <c r="A57" s="69">
        <v>2018</v>
      </c>
      <c r="B57" s="106">
        <v>43111</v>
      </c>
      <c r="C57" s="60">
        <v>1</v>
      </c>
      <c r="D57" s="60">
        <v>11</v>
      </c>
      <c r="E57" s="60">
        <v>17.100000000000001</v>
      </c>
      <c r="F57" s="60">
        <v>24.4</v>
      </c>
      <c r="G57" s="105">
        <f t="shared" ref="G57:G75" si="8">AVERAGE(E57:F57)</f>
        <v>20.75</v>
      </c>
      <c r="H57" s="105">
        <v>24.491935483870968</v>
      </c>
      <c r="I57" s="60"/>
      <c r="J57" s="80"/>
    </row>
    <row r="58" spans="1:10" x14ac:dyDescent="0.2">
      <c r="A58" s="69">
        <v>2018</v>
      </c>
      <c r="B58" s="106">
        <v>43157</v>
      </c>
      <c r="C58" s="60">
        <v>2</v>
      </c>
      <c r="D58" s="60">
        <v>26</v>
      </c>
      <c r="E58" s="60">
        <v>20.2</v>
      </c>
      <c r="F58" s="60">
        <v>24.3</v>
      </c>
      <c r="G58" s="105">
        <f t="shared" si="8"/>
        <v>22.25</v>
      </c>
      <c r="H58" s="105">
        <v>24.232142857142854</v>
      </c>
      <c r="I58" s="60"/>
      <c r="J58" s="80"/>
    </row>
    <row r="59" spans="1:10" x14ac:dyDescent="0.2">
      <c r="A59" s="69">
        <v>2018</v>
      </c>
      <c r="B59" s="106">
        <v>43158</v>
      </c>
      <c r="C59" s="60">
        <v>2</v>
      </c>
      <c r="D59" s="60">
        <v>27</v>
      </c>
      <c r="E59" s="60">
        <v>14.8</v>
      </c>
      <c r="F59" s="60">
        <v>24.9</v>
      </c>
      <c r="G59" s="105">
        <f t="shared" si="8"/>
        <v>19.850000000000001</v>
      </c>
      <c r="H59" s="105">
        <v>24.232142857142854</v>
      </c>
      <c r="I59" s="60"/>
      <c r="J59" s="80"/>
    </row>
    <row r="60" spans="1:10" x14ac:dyDescent="0.2">
      <c r="A60" s="69">
        <v>2018</v>
      </c>
      <c r="B60" s="106">
        <v>43186</v>
      </c>
      <c r="C60" s="60">
        <v>3</v>
      </c>
      <c r="D60" s="60">
        <v>27</v>
      </c>
      <c r="E60" s="60">
        <v>16</v>
      </c>
      <c r="F60" s="60">
        <v>25.2</v>
      </c>
      <c r="G60" s="105">
        <f t="shared" si="8"/>
        <v>20.6</v>
      </c>
      <c r="H60" s="105">
        <v>23.788709677419355</v>
      </c>
      <c r="I60" s="60"/>
      <c r="J60" s="80"/>
    </row>
    <row r="61" spans="1:10" x14ac:dyDescent="0.2">
      <c r="A61" s="69">
        <v>2018</v>
      </c>
      <c r="B61" s="106">
        <v>43220</v>
      </c>
      <c r="C61" s="60">
        <v>4</v>
      </c>
      <c r="D61" s="60">
        <v>30</v>
      </c>
      <c r="E61" s="60">
        <v>14.8</v>
      </c>
      <c r="F61" s="60">
        <v>30.5</v>
      </c>
      <c r="G61" s="105">
        <f t="shared" si="8"/>
        <v>22.65</v>
      </c>
      <c r="H61" s="105">
        <v>19.845000000000002</v>
      </c>
      <c r="I61" s="60"/>
      <c r="J61" s="80"/>
    </row>
    <row r="62" spans="1:10" x14ac:dyDescent="0.2">
      <c r="A62" s="69">
        <v>2018</v>
      </c>
      <c r="B62" s="106">
        <v>43265</v>
      </c>
      <c r="C62" s="60">
        <v>6</v>
      </c>
      <c r="D62" s="60">
        <v>14</v>
      </c>
      <c r="E62" s="60">
        <v>7</v>
      </c>
      <c r="F62" s="60">
        <v>20.5</v>
      </c>
      <c r="G62" s="105">
        <f t="shared" si="8"/>
        <v>13.75</v>
      </c>
      <c r="H62" s="105">
        <v>14.11166666666667</v>
      </c>
      <c r="I62" s="60"/>
      <c r="J62" s="80"/>
    </row>
    <row r="63" spans="1:10" x14ac:dyDescent="0.2">
      <c r="A63" s="69">
        <v>2018</v>
      </c>
      <c r="B63" s="106">
        <v>43342</v>
      </c>
      <c r="C63" s="60">
        <v>8</v>
      </c>
      <c r="D63" s="60">
        <v>30</v>
      </c>
      <c r="E63" s="60">
        <v>6.7</v>
      </c>
      <c r="F63" s="60">
        <v>17.2</v>
      </c>
      <c r="G63" s="105">
        <f t="shared" si="8"/>
        <v>11.95</v>
      </c>
      <c r="H63" s="105">
        <v>13.151612903225805</v>
      </c>
      <c r="I63" s="60"/>
      <c r="J63" s="80"/>
    </row>
    <row r="64" spans="1:10" x14ac:dyDescent="0.2">
      <c r="A64" s="69">
        <v>2018</v>
      </c>
      <c r="B64" s="106">
        <v>43384</v>
      </c>
      <c r="C64" s="60">
        <v>10</v>
      </c>
      <c r="D64" s="60">
        <v>11</v>
      </c>
      <c r="E64" s="60">
        <v>13.8</v>
      </c>
      <c r="F64" s="60">
        <v>24.2</v>
      </c>
      <c r="G64" s="105">
        <f t="shared" si="8"/>
        <v>19</v>
      </c>
      <c r="H64" s="105">
        <v>18.179032258064513</v>
      </c>
      <c r="I64" s="60"/>
      <c r="J64" s="80"/>
    </row>
    <row r="65" spans="1:11" x14ac:dyDescent="0.2">
      <c r="A65" s="69">
        <v>2018</v>
      </c>
      <c r="B65" s="106">
        <v>43440</v>
      </c>
      <c r="C65" s="60">
        <v>12</v>
      </c>
      <c r="D65" s="60">
        <v>6</v>
      </c>
      <c r="E65" s="60">
        <v>13</v>
      </c>
      <c r="F65" s="60">
        <v>22.8</v>
      </c>
      <c r="G65" s="105">
        <f t="shared" si="8"/>
        <v>17.899999999999999</v>
      </c>
      <c r="H65" s="105">
        <v>22.732258064516131</v>
      </c>
      <c r="I65" s="60"/>
      <c r="J65" s="80"/>
    </row>
    <row r="66" spans="1:11" x14ac:dyDescent="0.2">
      <c r="A66" s="69">
        <v>2019</v>
      </c>
      <c r="B66" s="106">
        <v>43474</v>
      </c>
      <c r="C66" s="60">
        <v>1</v>
      </c>
      <c r="D66" s="60">
        <v>9</v>
      </c>
      <c r="E66" s="60">
        <v>18.5</v>
      </c>
      <c r="F66" s="60">
        <v>31.5</v>
      </c>
      <c r="G66" s="105">
        <f t="shared" si="8"/>
        <v>25</v>
      </c>
      <c r="H66" s="105">
        <v>23.541935483870969</v>
      </c>
      <c r="I66" s="60"/>
      <c r="J66" s="80"/>
    </row>
    <row r="67" spans="1:11" x14ac:dyDescent="0.2">
      <c r="A67" s="69">
        <v>2019</v>
      </c>
      <c r="B67" s="106">
        <v>43508</v>
      </c>
      <c r="C67" s="60">
        <v>2</v>
      </c>
      <c r="D67" s="60">
        <v>12</v>
      </c>
      <c r="E67" s="60">
        <v>14.6</v>
      </c>
      <c r="F67" s="60">
        <v>28.9</v>
      </c>
      <c r="G67" s="105">
        <f t="shared" si="8"/>
        <v>21.75</v>
      </c>
      <c r="H67" s="105">
        <v>24.800000000000004</v>
      </c>
      <c r="I67" s="60"/>
      <c r="J67" s="80"/>
    </row>
    <row r="68" spans="1:11" x14ac:dyDescent="0.2">
      <c r="A68" s="69">
        <v>2019</v>
      </c>
      <c r="B68" s="106">
        <v>43536</v>
      </c>
      <c r="C68" s="60">
        <v>3</v>
      </c>
      <c r="D68" s="60">
        <v>12</v>
      </c>
      <c r="E68" s="60">
        <v>17.7</v>
      </c>
      <c r="F68" s="60">
        <v>32</v>
      </c>
      <c r="G68" s="105">
        <f t="shared" si="8"/>
        <v>24.85</v>
      </c>
      <c r="H68" s="105">
        <v>24.090322580645168</v>
      </c>
      <c r="I68" s="60"/>
      <c r="J68" s="80"/>
    </row>
    <row r="69" spans="1:11" x14ac:dyDescent="0.2">
      <c r="A69" s="69">
        <v>2019</v>
      </c>
      <c r="B69" s="106">
        <v>43587</v>
      </c>
      <c r="C69" s="60">
        <v>5</v>
      </c>
      <c r="D69" s="60">
        <v>2</v>
      </c>
      <c r="E69" s="60">
        <v>4.8</v>
      </c>
      <c r="F69" s="60">
        <v>19.899999999999999</v>
      </c>
      <c r="G69" s="105">
        <f t="shared" si="8"/>
        <v>12.35</v>
      </c>
      <c r="H69" s="105">
        <v>15.272580645161288</v>
      </c>
      <c r="I69" s="60"/>
      <c r="J69" s="80"/>
    </row>
    <row r="70" spans="1:11" x14ac:dyDescent="0.2">
      <c r="A70" s="69">
        <v>2019</v>
      </c>
      <c r="B70" s="106">
        <v>43647</v>
      </c>
      <c r="C70" s="60">
        <v>7</v>
      </c>
      <c r="D70" s="60">
        <v>1</v>
      </c>
      <c r="E70" s="60">
        <v>12.1</v>
      </c>
      <c r="F70" s="60">
        <v>19.2</v>
      </c>
      <c r="G70" s="105">
        <f t="shared" si="8"/>
        <v>15.649999999999999</v>
      </c>
      <c r="H70" s="105">
        <v>13.835483870967741</v>
      </c>
      <c r="I70" s="60"/>
      <c r="J70" s="80"/>
    </row>
    <row r="71" spans="1:11" x14ac:dyDescent="0.2">
      <c r="A71" s="69">
        <v>2019</v>
      </c>
      <c r="B71" s="106">
        <v>43678</v>
      </c>
      <c r="C71" s="60">
        <v>8</v>
      </c>
      <c r="D71" s="60">
        <v>1</v>
      </c>
      <c r="E71" s="60">
        <v>8.5</v>
      </c>
      <c r="F71" s="60">
        <v>20.9</v>
      </c>
      <c r="G71" s="105">
        <f t="shared" si="8"/>
        <v>14.7</v>
      </c>
      <c r="H71" s="105">
        <v>14.008064516129027</v>
      </c>
      <c r="I71" s="60"/>
      <c r="J71" s="80"/>
    </row>
    <row r="72" spans="1:11" x14ac:dyDescent="0.2">
      <c r="A72" s="69">
        <v>2019</v>
      </c>
      <c r="B72" s="106">
        <v>43719</v>
      </c>
      <c r="C72" s="60">
        <v>9</v>
      </c>
      <c r="D72" s="60">
        <v>11</v>
      </c>
      <c r="E72" s="60">
        <v>12.9</v>
      </c>
      <c r="F72" s="60">
        <v>23.4</v>
      </c>
      <c r="G72" s="105">
        <f t="shared" si="8"/>
        <v>18.149999999999999</v>
      </c>
      <c r="H72" s="105">
        <v>16.063333333333333</v>
      </c>
      <c r="I72" s="60"/>
      <c r="J72" s="80"/>
    </row>
    <row r="73" spans="1:11" x14ac:dyDescent="0.2">
      <c r="A73" s="69">
        <v>2019</v>
      </c>
      <c r="B73" s="106">
        <v>43762</v>
      </c>
      <c r="C73" s="60">
        <v>10</v>
      </c>
      <c r="D73" s="60">
        <v>24</v>
      </c>
      <c r="E73" s="60">
        <v>10.5</v>
      </c>
      <c r="F73" s="60">
        <v>21.3</v>
      </c>
      <c r="G73" s="105">
        <f t="shared" si="8"/>
        <v>15.9</v>
      </c>
      <c r="H73" s="105">
        <v>17.667741935483868</v>
      </c>
      <c r="I73" s="60"/>
      <c r="J73" s="80"/>
    </row>
    <row r="74" spans="1:11" x14ac:dyDescent="0.2">
      <c r="A74" s="69">
        <v>2019</v>
      </c>
      <c r="B74" s="106">
        <v>43790</v>
      </c>
      <c r="C74" s="60">
        <v>11</v>
      </c>
      <c r="D74" s="60">
        <v>21</v>
      </c>
      <c r="E74" s="60">
        <v>5.7</v>
      </c>
      <c r="F74" s="60">
        <v>24.2</v>
      </c>
      <c r="G74" s="105">
        <f t="shared" si="8"/>
        <v>14.95</v>
      </c>
      <c r="H74" s="105">
        <v>21.918333333333333</v>
      </c>
      <c r="I74" s="60"/>
      <c r="J74" s="80"/>
    </row>
    <row r="75" spans="1:11" x14ac:dyDescent="0.2">
      <c r="A75" s="69">
        <v>2019</v>
      </c>
      <c r="B75" s="106">
        <v>43809</v>
      </c>
      <c r="C75" s="60">
        <v>12</v>
      </c>
      <c r="D75" s="60">
        <v>10</v>
      </c>
      <c r="E75" s="60">
        <v>13.3</v>
      </c>
      <c r="F75" s="60">
        <v>37</v>
      </c>
      <c r="G75" s="105">
        <f t="shared" si="8"/>
        <v>25.15</v>
      </c>
      <c r="H75" s="60"/>
      <c r="I75" s="60"/>
      <c r="J75" s="80"/>
    </row>
    <row r="76" spans="1:11" x14ac:dyDescent="0.2">
      <c r="A76" s="69"/>
      <c r="B76" s="60"/>
      <c r="C76" s="60"/>
      <c r="D76" s="60"/>
      <c r="E76" s="60"/>
      <c r="F76" s="60"/>
      <c r="G76" s="60"/>
      <c r="H76" s="60"/>
      <c r="I76" s="60"/>
      <c r="J76" s="80"/>
    </row>
    <row r="77" spans="1:11" x14ac:dyDescent="0.2">
      <c r="A77" s="70"/>
      <c r="B77" s="71"/>
      <c r="C77" s="71"/>
      <c r="D77" s="71"/>
      <c r="E77" s="71"/>
      <c r="F77" s="71"/>
      <c r="G77" s="71"/>
      <c r="H77" s="71"/>
      <c r="I77" s="71"/>
      <c r="J77" s="72"/>
    </row>
    <row r="78" spans="1:11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11" ht="15.75" x14ac:dyDescent="0.25">
      <c r="A79" s="108" t="s">
        <v>260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</row>
    <row r="80" spans="1:11" x14ac:dyDescent="0.2">
      <c r="A80" s="60"/>
      <c r="B80" s="60" t="s">
        <v>209</v>
      </c>
      <c r="C80" s="60" t="s">
        <v>261</v>
      </c>
      <c r="D80" s="60"/>
      <c r="E80" s="60"/>
      <c r="F80" s="60"/>
      <c r="G80" s="60"/>
      <c r="H80" s="60"/>
      <c r="I80" s="60"/>
      <c r="J80" s="60"/>
      <c r="K80" s="60"/>
    </row>
    <row r="81" spans="1:11" x14ac:dyDescent="0.2">
      <c r="A81" s="69">
        <v>2018</v>
      </c>
      <c r="B81" s="106">
        <v>43101</v>
      </c>
      <c r="C81" s="60">
        <v>31.7</v>
      </c>
      <c r="D81" s="105">
        <f>C81-$C$105</f>
        <v>6.4521739130434739</v>
      </c>
      <c r="E81" s="60"/>
      <c r="F81" s="60"/>
      <c r="G81" s="60"/>
      <c r="H81" s="60"/>
      <c r="I81" s="60"/>
      <c r="J81" s="60"/>
      <c r="K81" s="60"/>
    </row>
    <row r="82" spans="1:11" x14ac:dyDescent="0.2">
      <c r="A82" s="69">
        <v>2018</v>
      </c>
      <c r="B82" s="106">
        <v>43132</v>
      </c>
      <c r="C82" s="60">
        <v>30.8</v>
      </c>
      <c r="D82" s="105">
        <f t="shared" ref="D82:D103" si="9">C82-$C$105</f>
        <v>5.5521739130434753</v>
      </c>
      <c r="E82" s="60"/>
      <c r="F82" s="60"/>
      <c r="G82" s="60"/>
      <c r="H82" s="60"/>
      <c r="I82" s="60"/>
      <c r="J82" s="60"/>
      <c r="K82" s="60"/>
    </row>
    <row r="83" spans="1:11" x14ac:dyDescent="0.2">
      <c r="A83" s="69">
        <v>2018</v>
      </c>
      <c r="B83" s="106">
        <v>43160</v>
      </c>
      <c r="C83" s="60">
        <v>30.5</v>
      </c>
      <c r="D83" s="105">
        <f t="shared" si="9"/>
        <v>5.2521739130434746</v>
      </c>
      <c r="E83" s="60"/>
      <c r="F83" s="60"/>
      <c r="G83" s="60"/>
      <c r="H83" s="60"/>
      <c r="I83" s="60"/>
      <c r="J83" s="60"/>
      <c r="K83" s="60"/>
    </row>
    <row r="84" spans="1:11" x14ac:dyDescent="0.2">
      <c r="A84" s="69">
        <v>2018</v>
      </c>
      <c r="B84" s="106">
        <v>43191</v>
      </c>
      <c r="C84" s="60">
        <v>26.5</v>
      </c>
      <c r="D84" s="105">
        <f t="shared" si="9"/>
        <v>1.2521739130434746</v>
      </c>
      <c r="E84" s="60"/>
      <c r="F84" s="60"/>
      <c r="G84" s="60"/>
      <c r="H84" s="60"/>
      <c r="I84" s="60"/>
      <c r="J84" s="60"/>
      <c r="K84" s="60"/>
    </row>
    <row r="85" spans="1:11" x14ac:dyDescent="0.2">
      <c r="A85" s="69">
        <v>2018</v>
      </c>
      <c r="B85" s="106">
        <v>43221</v>
      </c>
      <c r="C85" s="60">
        <v>24.2</v>
      </c>
      <c r="D85" s="105">
        <f t="shared" si="9"/>
        <v>-1.0478260869565261</v>
      </c>
      <c r="E85" s="60"/>
      <c r="F85" s="60"/>
      <c r="G85" s="60"/>
      <c r="H85" s="60"/>
      <c r="I85" s="60"/>
      <c r="J85" s="60"/>
      <c r="K85" s="60"/>
    </row>
    <row r="86" spans="1:11" x14ac:dyDescent="0.2">
      <c r="A86" s="69">
        <v>2018</v>
      </c>
      <c r="B86" s="106">
        <v>43252</v>
      </c>
      <c r="C86" s="60">
        <v>19.3</v>
      </c>
      <c r="D86" s="105">
        <f t="shared" si="9"/>
        <v>-5.9478260869565247</v>
      </c>
      <c r="E86" s="60"/>
      <c r="F86" s="60"/>
      <c r="G86" s="60"/>
      <c r="H86" s="60"/>
      <c r="I86" s="60"/>
      <c r="J86" s="60"/>
      <c r="K86" s="60"/>
    </row>
    <row r="87" spans="1:11" x14ac:dyDescent="0.2">
      <c r="A87" s="69">
        <v>2018</v>
      </c>
      <c r="B87" s="106">
        <v>43282</v>
      </c>
      <c r="C87" s="60">
        <v>19.100000000000001</v>
      </c>
      <c r="D87" s="105">
        <f t="shared" si="9"/>
        <v>-6.147826086956524</v>
      </c>
      <c r="E87" s="60"/>
      <c r="F87" s="60"/>
      <c r="G87" s="60"/>
      <c r="H87" s="60"/>
      <c r="I87" s="60"/>
      <c r="J87" s="60"/>
      <c r="K87" s="60"/>
    </row>
    <row r="88" spans="1:11" x14ac:dyDescent="0.2">
      <c r="A88" s="69">
        <v>2018</v>
      </c>
      <c r="B88" s="106">
        <v>43313</v>
      </c>
      <c r="C88" s="60">
        <v>18.5</v>
      </c>
      <c r="D88" s="105">
        <f t="shared" si="9"/>
        <v>-6.7478260869565254</v>
      </c>
      <c r="E88" s="60"/>
      <c r="F88" s="60"/>
      <c r="G88" s="60"/>
      <c r="H88" s="60"/>
      <c r="I88" s="60"/>
      <c r="J88" s="60"/>
      <c r="K88" s="60"/>
    </row>
    <row r="89" spans="1:11" x14ac:dyDescent="0.2">
      <c r="A89" s="69">
        <v>2018</v>
      </c>
      <c r="B89" s="106">
        <v>43344</v>
      </c>
      <c r="C89" s="60">
        <v>20.6</v>
      </c>
      <c r="D89" s="105">
        <f t="shared" si="9"/>
        <v>-4.647826086956524</v>
      </c>
      <c r="E89" s="60"/>
      <c r="F89" s="60"/>
      <c r="G89" s="60"/>
      <c r="H89" s="60"/>
      <c r="I89" s="60"/>
      <c r="J89" s="60"/>
      <c r="K89" s="60"/>
    </row>
    <row r="90" spans="1:11" x14ac:dyDescent="0.2">
      <c r="A90" s="69">
        <v>2018</v>
      </c>
      <c r="B90" s="106">
        <v>43374</v>
      </c>
      <c r="C90" s="60">
        <v>23.8</v>
      </c>
      <c r="D90" s="105">
        <f t="shared" si="9"/>
        <v>-1.4478260869565247</v>
      </c>
      <c r="E90" s="60"/>
      <c r="F90" s="60"/>
      <c r="G90" s="60"/>
      <c r="H90" s="60"/>
      <c r="I90" s="60"/>
      <c r="J90" s="60"/>
      <c r="K90" s="60"/>
    </row>
    <row r="91" spans="1:11" x14ac:dyDescent="0.2">
      <c r="A91" s="69">
        <v>2018</v>
      </c>
      <c r="B91" s="106">
        <v>43405</v>
      </c>
      <c r="C91" s="60">
        <v>25.7</v>
      </c>
      <c r="D91" s="105">
        <f t="shared" si="9"/>
        <v>0.45217391304347387</v>
      </c>
      <c r="E91" s="60"/>
      <c r="F91" s="60"/>
      <c r="G91" s="60"/>
      <c r="H91" s="60"/>
      <c r="I91" s="60"/>
      <c r="J91" s="60"/>
      <c r="K91" s="60"/>
    </row>
    <row r="92" spans="1:11" x14ac:dyDescent="0.2">
      <c r="A92" s="69">
        <v>2018</v>
      </c>
      <c r="B92" s="106">
        <v>43435</v>
      </c>
      <c r="C92" s="60">
        <v>30.3</v>
      </c>
      <c r="D92" s="105">
        <f t="shared" si="9"/>
        <v>5.0521739130434753</v>
      </c>
      <c r="E92" s="60"/>
      <c r="F92" s="60"/>
      <c r="G92" s="60"/>
      <c r="H92" s="60"/>
      <c r="I92" s="60"/>
      <c r="J92" s="60"/>
      <c r="K92" s="60"/>
    </row>
    <row r="93" spans="1:11" x14ac:dyDescent="0.2">
      <c r="A93" s="69">
        <v>2019</v>
      </c>
      <c r="B93" s="106">
        <v>43466</v>
      </c>
      <c r="C93" s="60">
        <v>31.3</v>
      </c>
      <c r="D93" s="105">
        <f t="shared" si="9"/>
        <v>6.0521739130434753</v>
      </c>
      <c r="E93" s="60"/>
      <c r="F93" s="60"/>
      <c r="G93" s="60"/>
      <c r="H93" s="60"/>
      <c r="I93" s="60"/>
      <c r="J93" s="60"/>
      <c r="K93" s="60"/>
    </row>
    <row r="94" spans="1:11" x14ac:dyDescent="0.2">
      <c r="A94" s="69">
        <v>2019</v>
      </c>
      <c r="B94" s="106">
        <v>43497</v>
      </c>
      <c r="C94" s="60">
        <v>32.200000000000003</v>
      </c>
      <c r="D94" s="105">
        <f t="shared" si="9"/>
        <v>6.9521739130434774</v>
      </c>
    </row>
    <row r="95" spans="1:11" x14ac:dyDescent="0.2">
      <c r="A95" s="69">
        <v>2019</v>
      </c>
      <c r="B95" s="106">
        <v>43525</v>
      </c>
      <c r="C95" s="60">
        <v>31</v>
      </c>
      <c r="D95" s="105">
        <f t="shared" si="9"/>
        <v>5.7521739130434746</v>
      </c>
    </row>
    <row r="96" spans="1:11" x14ac:dyDescent="0.2">
      <c r="A96" s="69">
        <v>2019</v>
      </c>
      <c r="B96" s="106">
        <v>43556</v>
      </c>
      <c r="C96" s="60">
        <v>26</v>
      </c>
      <c r="D96" s="105">
        <f t="shared" si="9"/>
        <v>0.75217391304347458</v>
      </c>
    </row>
    <row r="97" spans="1:10" x14ac:dyDescent="0.2">
      <c r="A97" s="69">
        <v>2019</v>
      </c>
      <c r="B97" s="106">
        <v>43586</v>
      </c>
      <c r="C97" s="60">
        <v>22.5</v>
      </c>
      <c r="D97" s="105">
        <f t="shared" si="9"/>
        <v>-2.7478260869565254</v>
      </c>
    </row>
    <row r="98" spans="1:10" x14ac:dyDescent="0.2">
      <c r="A98" s="69">
        <v>2019</v>
      </c>
      <c r="B98" s="106">
        <v>43617</v>
      </c>
      <c r="C98" s="60">
        <v>19.600000000000001</v>
      </c>
      <c r="D98" s="105">
        <f t="shared" si="9"/>
        <v>-5.647826086956524</v>
      </c>
    </row>
    <row r="99" spans="1:10" x14ac:dyDescent="0.2">
      <c r="A99" s="69">
        <v>2019</v>
      </c>
      <c r="B99" s="106">
        <v>43647</v>
      </c>
      <c r="C99" s="60">
        <v>19.3</v>
      </c>
      <c r="D99" s="105">
        <f t="shared" si="9"/>
        <v>-5.9478260869565247</v>
      </c>
    </row>
    <row r="100" spans="1:10" x14ac:dyDescent="0.2">
      <c r="A100" s="69">
        <v>2019</v>
      </c>
      <c r="B100" s="106">
        <v>43678</v>
      </c>
      <c r="C100" s="60">
        <v>20.2</v>
      </c>
      <c r="D100" s="105">
        <f t="shared" si="9"/>
        <v>-5.0478260869565261</v>
      </c>
    </row>
    <row r="101" spans="1:10" x14ac:dyDescent="0.2">
      <c r="A101" s="69">
        <v>2019</v>
      </c>
      <c r="B101" s="106">
        <v>43709</v>
      </c>
      <c r="C101" s="60">
        <v>23.1</v>
      </c>
      <c r="D101" s="105">
        <f t="shared" si="9"/>
        <v>-2.147826086956524</v>
      </c>
    </row>
    <row r="102" spans="1:10" x14ac:dyDescent="0.2">
      <c r="A102" s="69">
        <v>2019</v>
      </c>
      <c r="B102" s="106">
        <v>43739</v>
      </c>
      <c r="C102" s="60">
        <v>24.7</v>
      </c>
      <c r="D102" s="105">
        <f t="shared" si="9"/>
        <v>-0.54782608695652613</v>
      </c>
    </row>
    <row r="103" spans="1:10" x14ac:dyDescent="0.2">
      <c r="A103" s="69">
        <v>2019</v>
      </c>
      <c r="B103" s="106">
        <v>43770</v>
      </c>
      <c r="C103" s="60">
        <v>29.8</v>
      </c>
      <c r="D103" s="105">
        <f t="shared" si="9"/>
        <v>4.5521739130434753</v>
      </c>
    </row>
    <row r="104" spans="1:10" x14ac:dyDescent="0.2">
      <c r="A104" s="69">
        <v>2019</v>
      </c>
      <c r="B104" s="106">
        <v>43800</v>
      </c>
    </row>
    <row r="105" spans="1:10" x14ac:dyDescent="0.2">
      <c r="C105" s="30">
        <f>AVERAGE(C81:C104)</f>
        <v>25.247826086956525</v>
      </c>
    </row>
    <row r="108" spans="1:10" ht="15.75" x14ac:dyDescent="0.25">
      <c r="A108" s="12" t="s">
        <v>227</v>
      </c>
      <c r="F108" t="s">
        <v>240</v>
      </c>
      <c r="G108" t="s">
        <v>241</v>
      </c>
    </row>
    <row r="109" spans="1:10" x14ac:dyDescent="0.2">
      <c r="A109" s="99">
        <f t="shared" ref="A109:A127" si="10">B109</f>
        <v>43111</v>
      </c>
      <c r="B109" s="109">
        <f t="shared" ref="B109:B127" si="11">C109</f>
        <v>43111</v>
      </c>
      <c r="C109" s="94">
        <v>43111</v>
      </c>
      <c r="D109" s="54" t="s">
        <v>37</v>
      </c>
      <c r="E109" s="55">
        <v>3.80375</v>
      </c>
      <c r="F109" s="55">
        <v>7.7999999999978087E-4</v>
      </c>
      <c r="G109" s="55">
        <f t="shared" ref="G109:G127" si="12">E109-$E$32</f>
        <v>-5.9999999999948983E-5</v>
      </c>
      <c r="H109" s="106">
        <v>43101</v>
      </c>
      <c r="I109" s="60">
        <v>31.7</v>
      </c>
      <c r="J109" s="105">
        <f>I109-$C$105</f>
        <v>6.4521739130434739</v>
      </c>
    </row>
    <row r="110" spans="1:10" x14ac:dyDescent="0.2">
      <c r="A110" s="100">
        <f t="shared" si="10"/>
        <v>43157</v>
      </c>
      <c r="B110" s="110">
        <f t="shared" si="11"/>
        <v>43157</v>
      </c>
      <c r="C110" s="95">
        <v>43157</v>
      </c>
      <c r="D110" s="60" t="s">
        <v>143</v>
      </c>
      <c r="E110" s="60">
        <v>3.8038099999999999</v>
      </c>
      <c r="F110" s="61">
        <v>8.3999999999972985E-4</v>
      </c>
      <c r="G110" s="61">
        <f t="shared" si="12"/>
        <v>0</v>
      </c>
      <c r="H110" s="106">
        <v>43132</v>
      </c>
      <c r="I110" s="60">
        <v>30.8</v>
      </c>
      <c r="J110" s="105">
        <f t="shared" ref="J110:J126" si="13">I110-$C$105</f>
        <v>5.5521739130434753</v>
      </c>
    </row>
    <row r="111" spans="1:10" x14ac:dyDescent="0.2">
      <c r="A111" s="100">
        <f t="shared" si="10"/>
        <v>43158</v>
      </c>
      <c r="B111" s="110">
        <f t="shared" si="11"/>
        <v>43158</v>
      </c>
      <c r="C111" s="95">
        <v>43158</v>
      </c>
      <c r="D111" s="60" t="s">
        <v>144</v>
      </c>
      <c r="E111" s="60">
        <v>3.8037399999999999</v>
      </c>
      <c r="F111" s="61">
        <v>7.6999999999971536E-4</v>
      </c>
      <c r="G111" s="61">
        <f t="shared" si="12"/>
        <v>-7.0000000000014495E-5</v>
      </c>
      <c r="H111" s="106">
        <v>43132</v>
      </c>
      <c r="I111" s="60">
        <v>30.8</v>
      </c>
      <c r="J111" s="105">
        <f t="shared" si="13"/>
        <v>5.5521739130434753</v>
      </c>
    </row>
    <row r="112" spans="1:10" x14ac:dyDescent="0.2">
      <c r="A112" s="100">
        <f t="shared" si="10"/>
        <v>43186</v>
      </c>
      <c r="B112" s="110">
        <f t="shared" si="11"/>
        <v>43186</v>
      </c>
      <c r="C112" s="95">
        <v>43186</v>
      </c>
      <c r="D112" s="60" t="s">
        <v>190</v>
      </c>
      <c r="E112" s="61">
        <v>3.8035999999999999</v>
      </c>
      <c r="F112" s="61">
        <v>6.2999999999968637E-4</v>
      </c>
      <c r="G112" s="61">
        <f t="shared" si="12"/>
        <v>-2.1000000000004349E-4</v>
      </c>
      <c r="H112" s="106">
        <v>43160</v>
      </c>
      <c r="I112" s="60">
        <v>30.5</v>
      </c>
      <c r="J112" s="105">
        <f t="shared" si="13"/>
        <v>5.2521739130434746</v>
      </c>
    </row>
    <row r="113" spans="1:10" x14ac:dyDescent="0.2">
      <c r="A113" s="100">
        <f t="shared" si="10"/>
        <v>43220</v>
      </c>
      <c r="B113" s="110">
        <f t="shared" si="11"/>
        <v>43220</v>
      </c>
      <c r="C113" s="95">
        <v>43220</v>
      </c>
      <c r="D113" s="60" t="s">
        <v>193</v>
      </c>
      <c r="E113" s="61">
        <v>3.8033800000000002</v>
      </c>
      <c r="F113" s="61">
        <v>4.1000000000002146E-4</v>
      </c>
      <c r="G113" s="61">
        <f t="shared" si="12"/>
        <v>-4.2999999999970839E-4</v>
      </c>
      <c r="H113" s="106">
        <v>43191</v>
      </c>
      <c r="I113" s="60">
        <v>26.5</v>
      </c>
      <c r="J113" s="105">
        <f t="shared" si="13"/>
        <v>1.2521739130434746</v>
      </c>
    </row>
    <row r="114" spans="1:10" x14ac:dyDescent="0.2">
      <c r="A114" s="100">
        <f t="shared" si="10"/>
        <v>43265</v>
      </c>
      <c r="B114" s="110">
        <f t="shared" si="11"/>
        <v>43265</v>
      </c>
      <c r="C114" s="95">
        <v>43265</v>
      </c>
      <c r="D114" s="60" t="s">
        <v>194</v>
      </c>
      <c r="E114" s="61">
        <v>3.8030200000000001</v>
      </c>
      <c r="F114" s="61">
        <v>4.9999999999883471E-5</v>
      </c>
      <c r="G114" s="61">
        <f t="shared" si="12"/>
        <v>-7.8999999999984638E-4</v>
      </c>
      <c r="H114" s="106">
        <v>43252</v>
      </c>
      <c r="I114" s="60">
        <v>19.3</v>
      </c>
      <c r="J114" s="105">
        <f t="shared" si="13"/>
        <v>-5.9478260869565247</v>
      </c>
    </row>
    <row r="115" spans="1:10" x14ac:dyDescent="0.2">
      <c r="A115" s="100">
        <f t="shared" si="10"/>
        <v>43342</v>
      </c>
      <c r="B115" s="110">
        <f t="shared" si="11"/>
        <v>43342</v>
      </c>
      <c r="C115" s="95">
        <v>43342</v>
      </c>
      <c r="D115" s="60" t="s">
        <v>196</v>
      </c>
      <c r="E115" s="61">
        <v>3.8029999999999999</v>
      </c>
      <c r="F115" s="61">
        <v>2.9999999999752447E-5</v>
      </c>
      <c r="G115" s="61">
        <f t="shared" si="12"/>
        <v>-8.099999999999774E-4</v>
      </c>
      <c r="H115" s="106">
        <v>43313</v>
      </c>
      <c r="I115" s="60">
        <v>18.5</v>
      </c>
      <c r="J115" s="105">
        <f t="shared" si="13"/>
        <v>-6.7478260869565254</v>
      </c>
    </row>
    <row r="116" spans="1:10" x14ac:dyDescent="0.2">
      <c r="A116" s="100">
        <f t="shared" si="10"/>
        <v>43384</v>
      </c>
      <c r="B116" s="110">
        <f t="shared" si="11"/>
        <v>43384</v>
      </c>
      <c r="C116" s="95">
        <v>43384</v>
      </c>
      <c r="D116" s="60" t="s">
        <v>211</v>
      </c>
      <c r="E116" s="61">
        <v>3.80322</v>
      </c>
      <c r="F116" s="61">
        <v>2.4999999999986144E-4</v>
      </c>
      <c r="G116" s="61">
        <f t="shared" si="12"/>
        <v>-5.8999999999986841E-4</v>
      </c>
      <c r="H116" s="106">
        <v>43374</v>
      </c>
      <c r="I116" s="60">
        <v>23.8</v>
      </c>
      <c r="J116" s="105">
        <f t="shared" si="13"/>
        <v>-1.4478260869565247</v>
      </c>
    </row>
    <row r="117" spans="1:10" x14ac:dyDescent="0.2">
      <c r="A117" s="100">
        <f t="shared" si="10"/>
        <v>43440</v>
      </c>
      <c r="B117" s="110">
        <f t="shared" si="11"/>
        <v>43440</v>
      </c>
      <c r="C117" s="95">
        <v>43440</v>
      </c>
      <c r="D117" s="60" t="s">
        <v>213</v>
      </c>
      <c r="E117" s="61">
        <v>3.80369</v>
      </c>
      <c r="F117" s="61">
        <v>7.1999999999983189E-4</v>
      </c>
      <c r="G117" s="61">
        <f t="shared" si="12"/>
        <v>-1.1999999999989797E-4</v>
      </c>
      <c r="H117" s="106">
        <v>43435</v>
      </c>
      <c r="I117" s="60">
        <v>30.3</v>
      </c>
      <c r="J117" s="105">
        <f t="shared" si="13"/>
        <v>5.0521739130434753</v>
      </c>
    </row>
    <row r="118" spans="1:10" x14ac:dyDescent="0.2">
      <c r="A118" s="100">
        <f t="shared" si="10"/>
        <v>43474</v>
      </c>
      <c r="B118" s="110">
        <f t="shared" si="11"/>
        <v>43474</v>
      </c>
      <c r="C118" s="95">
        <v>43474</v>
      </c>
      <c r="D118" s="60" t="s">
        <v>216</v>
      </c>
      <c r="E118" s="61">
        <v>3.8036799999999999</v>
      </c>
      <c r="F118" s="61">
        <v>7.0999999999976637E-4</v>
      </c>
      <c r="G118" s="61">
        <f t="shared" si="12"/>
        <v>-1.2999999999996348E-4</v>
      </c>
      <c r="H118" s="106">
        <v>43466</v>
      </c>
      <c r="I118" s="60">
        <v>31.3</v>
      </c>
      <c r="J118" s="105">
        <f t="shared" si="13"/>
        <v>6.0521739130434753</v>
      </c>
    </row>
    <row r="119" spans="1:10" x14ac:dyDescent="0.2">
      <c r="A119" s="100">
        <f t="shared" si="10"/>
        <v>43508</v>
      </c>
      <c r="B119" s="110">
        <f t="shared" si="11"/>
        <v>43508</v>
      </c>
      <c r="C119" s="95">
        <v>43508</v>
      </c>
      <c r="D119" s="60" t="s">
        <v>217</v>
      </c>
      <c r="E119" s="61">
        <v>3.8038400000000001</v>
      </c>
      <c r="F119" s="61">
        <v>8.6999999999992639E-4</v>
      </c>
      <c r="G119" s="61">
        <f t="shared" si="12"/>
        <v>3.0000000000196536E-5</v>
      </c>
      <c r="H119" s="106">
        <v>43497</v>
      </c>
      <c r="I119" s="60">
        <v>32.200000000000003</v>
      </c>
      <c r="J119" s="105">
        <f t="shared" si="13"/>
        <v>6.9521739130434774</v>
      </c>
    </row>
    <row r="120" spans="1:10" x14ac:dyDescent="0.2">
      <c r="A120" s="100">
        <f t="shared" si="10"/>
        <v>43536</v>
      </c>
      <c r="B120" s="110">
        <f t="shared" si="11"/>
        <v>43536</v>
      </c>
      <c r="C120" s="95">
        <v>43536</v>
      </c>
      <c r="D120" s="60" t="s">
        <v>218</v>
      </c>
      <c r="E120" s="61">
        <v>3.8037299999999998</v>
      </c>
      <c r="F120" s="61">
        <v>7.5999999999964984E-4</v>
      </c>
      <c r="G120" s="61">
        <f t="shared" si="12"/>
        <v>-8.0000000000080007E-5</v>
      </c>
      <c r="H120" s="106">
        <v>43525</v>
      </c>
      <c r="I120" s="60">
        <v>31</v>
      </c>
      <c r="J120" s="105">
        <f t="shared" si="13"/>
        <v>5.7521739130434746</v>
      </c>
    </row>
    <row r="121" spans="1:10" x14ac:dyDescent="0.2">
      <c r="A121" s="100">
        <f t="shared" si="10"/>
        <v>43587</v>
      </c>
      <c r="B121" s="110">
        <f t="shared" si="11"/>
        <v>43587</v>
      </c>
      <c r="C121" s="95">
        <v>43587</v>
      </c>
      <c r="D121" s="60" t="s">
        <v>219</v>
      </c>
      <c r="E121" s="61">
        <v>3.8029600000000001</v>
      </c>
      <c r="F121" s="61">
        <v>-1.0000000000065512E-5</v>
      </c>
      <c r="G121" s="61">
        <f t="shared" si="12"/>
        <v>-8.4999999999979536E-4</v>
      </c>
      <c r="H121" s="106">
        <v>43586</v>
      </c>
      <c r="I121" s="60">
        <v>22.5</v>
      </c>
      <c r="J121" s="105">
        <f t="shared" si="13"/>
        <v>-2.7478260869565254</v>
      </c>
    </row>
    <row r="122" spans="1:10" x14ac:dyDescent="0.2">
      <c r="A122" s="100">
        <f t="shared" si="10"/>
        <v>43647</v>
      </c>
      <c r="B122" s="110">
        <f t="shared" si="11"/>
        <v>43647</v>
      </c>
      <c r="C122" s="95">
        <v>43647</v>
      </c>
      <c r="D122" s="60" t="s">
        <v>220</v>
      </c>
      <c r="E122" s="61">
        <v>3.8032699999999999</v>
      </c>
      <c r="F122" s="61">
        <v>2.9999999999974492E-4</v>
      </c>
      <c r="G122" s="61">
        <f t="shared" si="12"/>
        <v>-5.3999999999998494E-4</v>
      </c>
      <c r="H122" s="106">
        <v>43647</v>
      </c>
      <c r="I122" s="60">
        <v>19.3</v>
      </c>
      <c r="J122" s="105">
        <f t="shared" si="13"/>
        <v>-5.9478260869565247</v>
      </c>
    </row>
    <row r="123" spans="1:10" x14ac:dyDescent="0.2">
      <c r="A123" s="100">
        <f t="shared" si="10"/>
        <v>43678</v>
      </c>
      <c r="B123" s="110">
        <f t="shared" si="11"/>
        <v>43678</v>
      </c>
      <c r="C123" s="95">
        <v>43678</v>
      </c>
      <c r="D123" s="60" t="s">
        <v>221</v>
      </c>
      <c r="E123" s="61">
        <v>3.8029099999999998</v>
      </c>
      <c r="F123" s="61">
        <v>-6.0000000000393072E-5</v>
      </c>
      <c r="G123" s="61">
        <f t="shared" si="12"/>
        <v>-9.0000000000012292E-4</v>
      </c>
      <c r="H123" s="106">
        <v>43678</v>
      </c>
      <c r="I123" s="60">
        <v>20.2</v>
      </c>
      <c r="J123" s="105">
        <f t="shared" si="13"/>
        <v>-5.0478260869565261</v>
      </c>
    </row>
    <row r="124" spans="1:10" x14ac:dyDescent="0.2">
      <c r="A124" s="100">
        <f t="shared" si="10"/>
        <v>43719</v>
      </c>
      <c r="B124" s="110">
        <f t="shared" si="11"/>
        <v>43719</v>
      </c>
      <c r="C124" s="95">
        <v>43719</v>
      </c>
      <c r="D124" s="60" t="s">
        <v>222</v>
      </c>
      <c r="E124" s="61">
        <v>3.8031899999999998</v>
      </c>
      <c r="F124" s="61">
        <v>2.1999999999966491E-4</v>
      </c>
      <c r="G124" s="61">
        <f t="shared" si="12"/>
        <v>-6.2000000000006494E-4</v>
      </c>
      <c r="H124" s="106">
        <v>43709</v>
      </c>
      <c r="I124" s="60">
        <v>23.1</v>
      </c>
      <c r="J124" s="105">
        <f t="shared" si="13"/>
        <v>-2.147826086956524</v>
      </c>
    </row>
    <row r="125" spans="1:10" x14ac:dyDescent="0.2">
      <c r="A125" s="100">
        <f t="shared" si="10"/>
        <v>43762</v>
      </c>
      <c r="B125" s="110">
        <f t="shared" si="11"/>
        <v>43762</v>
      </c>
      <c r="C125" s="95">
        <v>43762</v>
      </c>
      <c r="D125" s="60" t="s">
        <v>223</v>
      </c>
      <c r="E125" s="61">
        <v>3.8033199999999998</v>
      </c>
      <c r="F125" s="61">
        <v>3.4999999999962839E-4</v>
      </c>
      <c r="G125" s="61">
        <f t="shared" si="12"/>
        <v>-4.9000000000010147E-4</v>
      </c>
      <c r="H125" s="106">
        <v>43739</v>
      </c>
      <c r="I125" s="60">
        <v>24.7</v>
      </c>
      <c r="J125" s="105">
        <f t="shared" si="13"/>
        <v>-0.54782608695652613</v>
      </c>
    </row>
    <row r="126" spans="1:10" x14ac:dyDescent="0.2">
      <c r="A126" s="100">
        <f t="shared" si="10"/>
        <v>43790</v>
      </c>
      <c r="B126" s="110">
        <f t="shared" si="11"/>
        <v>43790</v>
      </c>
      <c r="C126" s="95">
        <v>43790</v>
      </c>
      <c r="D126" s="60" t="s">
        <v>224</v>
      </c>
      <c r="E126" s="61">
        <v>3.8035899999999998</v>
      </c>
      <c r="F126" s="61">
        <v>6.1999999999962085E-4</v>
      </c>
      <c r="G126" s="61">
        <f t="shared" si="12"/>
        <v>-2.20000000000109E-4</v>
      </c>
      <c r="H126" s="106">
        <v>43770</v>
      </c>
      <c r="I126" s="60">
        <v>29.8</v>
      </c>
      <c r="J126" s="105">
        <f t="shared" si="13"/>
        <v>4.5521739130434753</v>
      </c>
    </row>
    <row r="127" spans="1:10" x14ac:dyDescent="0.2">
      <c r="A127" s="100">
        <f t="shared" si="10"/>
        <v>43809</v>
      </c>
      <c r="B127" s="110">
        <f t="shared" si="11"/>
        <v>43809</v>
      </c>
      <c r="C127" s="95">
        <v>43809</v>
      </c>
      <c r="D127" s="60" t="s">
        <v>225</v>
      </c>
      <c r="E127" s="61">
        <v>3.8036699999999999</v>
      </c>
      <c r="F127" s="61">
        <v>6.9999999999970086E-4</v>
      </c>
      <c r="G127" s="61">
        <f t="shared" si="12"/>
        <v>-1.4000000000002899E-4</v>
      </c>
      <c r="H127" s="106">
        <v>43800</v>
      </c>
    </row>
    <row r="128" spans="1:10" x14ac:dyDescent="0.2">
      <c r="A128" s="101" t="s">
        <v>242</v>
      </c>
      <c r="B128" s="60"/>
      <c r="C128" s="60"/>
      <c r="D128" s="60"/>
      <c r="E128" s="61">
        <f>MIN(E101:E127)</f>
        <v>3.8029099999999998</v>
      </c>
      <c r="F128" s="61">
        <f>MIN(F101:F127)</f>
        <v>-6.0000000000393072E-5</v>
      </c>
      <c r="G128" s="61">
        <f>MIN(G101:G127)</f>
        <v>-9.0000000000012292E-4</v>
      </c>
    </row>
    <row r="129" spans="1:10" x14ac:dyDescent="0.2">
      <c r="A129" s="101" t="s">
        <v>243</v>
      </c>
      <c r="B129" s="60"/>
      <c r="C129" s="60"/>
      <c r="D129" s="60"/>
      <c r="E129" s="61">
        <f>MAX(E101:E127)</f>
        <v>3.8038400000000001</v>
      </c>
      <c r="F129" s="61">
        <f>MAX(F101:F127)</f>
        <v>8.6999999999992639E-4</v>
      </c>
      <c r="G129" s="61">
        <f>MAX(G101:G127)</f>
        <v>3.0000000000196536E-5</v>
      </c>
    </row>
    <row r="130" spans="1:10" x14ac:dyDescent="0.2">
      <c r="A130" s="101" t="s">
        <v>244</v>
      </c>
      <c r="B130" s="60"/>
      <c r="C130" s="60"/>
      <c r="D130" s="60"/>
      <c r="E130" s="61">
        <f>E129-E128</f>
        <v>9.3000000000031946E-4</v>
      </c>
      <c r="F130" s="61">
        <f t="shared" ref="F130" si="14">F129-F128</f>
        <v>9.3000000000031946E-4</v>
      </c>
      <c r="G130" s="61">
        <f t="shared" ref="G130" si="15">G129-G128</f>
        <v>9.3000000000031946E-4</v>
      </c>
    </row>
    <row r="131" spans="1:10" x14ac:dyDescent="0.2">
      <c r="A131" s="102" t="s">
        <v>239</v>
      </c>
      <c r="B131" s="71"/>
      <c r="C131" s="71"/>
      <c r="D131" s="71"/>
      <c r="E131" s="84">
        <f>AVERAGE(E101:E127)</f>
        <v>3.8034405263157889</v>
      </c>
      <c r="F131" s="84">
        <f>AVERAGE(F101:F127)</f>
        <v>4.7052631578923724E-4</v>
      </c>
      <c r="G131" s="84">
        <f>AVERAGE(G101:G127)</f>
        <v>-3.6947368421049262E-4</v>
      </c>
    </row>
    <row r="134" spans="1:10" ht="15.75" x14ac:dyDescent="0.25">
      <c r="A134" s="12" t="s">
        <v>262</v>
      </c>
      <c r="F134" t="s">
        <v>240</v>
      </c>
      <c r="G134" t="s">
        <v>241</v>
      </c>
    </row>
    <row r="135" spans="1:10" x14ac:dyDescent="0.2">
      <c r="A135" s="99">
        <f t="shared" ref="A135:A153" si="16">B135</f>
        <v>43111</v>
      </c>
      <c r="B135" s="109">
        <f t="shared" ref="B135:B153" si="17">C135</f>
        <v>43111</v>
      </c>
      <c r="C135" s="94">
        <v>43111</v>
      </c>
      <c r="D135" s="54" t="s">
        <v>37</v>
      </c>
      <c r="E135" s="55">
        <v>3.80375</v>
      </c>
      <c r="F135" s="55">
        <v>7.7999999999978087E-4</v>
      </c>
      <c r="G135" s="55">
        <f t="shared" ref="G135:G153" si="18">E135-$E$32</f>
        <v>-5.9999999999948983E-5</v>
      </c>
      <c r="H135" s="106">
        <v>43101</v>
      </c>
      <c r="I135" s="60">
        <v>31.7</v>
      </c>
      <c r="J135" s="105">
        <f>I135-$C$105</f>
        <v>6.4521739130434739</v>
      </c>
    </row>
    <row r="136" spans="1:10" x14ac:dyDescent="0.2">
      <c r="A136" s="100">
        <f t="shared" si="16"/>
        <v>43157</v>
      </c>
      <c r="B136" s="110">
        <f t="shared" si="17"/>
        <v>43157</v>
      </c>
      <c r="C136" s="95">
        <v>43157</v>
      </c>
      <c r="D136" s="60" t="s">
        <v>143</v>
      </c>
      <c r="E136" s="60">
        <v>3.8038099999999999</v>
      </c>
      <c r="F136" s="61">
        <v>8.3999999999972985E-4</v>
      </c>
      <c r="G136" s="61">
        <f t="shared" si="18"/>
        <v>0</v>
      </c>
      <c r="H136" s="106">
        <v>43132</v>
      </c>
      <c r="I136" s="60">
        <v>30.8</v>
      </c>
      <c r="J136" s="105">
        <f t="shared" ref="J136:J152" si="19">I136-$C$105</f>
        <v>5.5521739130434753</v>
      </c>
    </row>
    <row r="137" spans="1:10" x14ac:dyDescent="0.2">
      <c r="A137" s="100">
        <f t="shared" si="16"/>
        <v>43158</v>
      </c>
      <c r="B137" s="110">
        <f t="shared" si="17"/>
        <v>43158</v>
      </c>
      <c r="C137" s="95">
        <v>43158</v>
      </c>
      <c r="D137" s="60" t="s">
        <v>144</v>
      </c>
      <c r="E137" s="60">
        <v>3.8037399999999999</v>
      </c>
      <c r="F137" s="61">
        <v>7.6999999999971536E-4</v>
      </c>
      <c r="G137" s="61">
        <f t="shared" si="18"/>
        <v>-7.0000000000014495E-5</v>
      </c>
      <c r="H137" s="106">
        <v>43132</v>
      </c>
      <c r="I137" s="60">
        <v>30.8</v>
      </c>
      <c r="J137" s="105">
        <f t="shared" si="19"/>
        <v>5.5521739130434753</v>
      </c>
    </row>
    <row r="138" spans="1:10" x14ac:dyDescent="0.2">
      <c r="A138" s="100">
        <f t="shared" si="16"/>
        <v>43186</v>
      </c>
      <c r="B138" s="110">
        <f t="shared" si="17"/>
        <v>43186</v>
      </c>
      <c r="C138" s="95">
        <v>43186</v>
      </c>
      <c r="D138" s="60" t="s">
        <v>190</v>
      </c>
      <c r="E138" s="61">
        <v>3.8035999999999999</v>
      </c>
      <c r="F138" s="61">
        <v>6.2999999999968637E-4</v>
      </c>
      <c r="G138" s="61">
        <f t="shared" si="18"/>
        <v>-2.1000000000004349E-4</v>
      </c>
      <c r="H138" s="106">
        <v>43160</v>
      </c>
      <c r="I138" s="60">
        <v>30.5</v>
      </c>
      <c r="J138" s="105">
        <f t="shared" si="19"/>
        <v>5.2521739130434746</v>
      </c>
    </row>
    <row r="139" spans="1:10" x14ac:dyDescent="0.2">
      <c r="A139" s="100">
        <f t="shared" si="16"/>
        <v>43220</v>
      </c>
      <c r="B139" s="110">
        <f t="shared" si="17"/>
        <v>43220</v>
      </c>
      <c r="C139" s="95">
        <v>43220</v>
      </c>
      <c r="D139" s="60" t="s">
        <v>193</v>
      </c>
      <c r="E139" s="61">
        <v>3.8033800000000002</v>
      </c>
      <c r="F139" s="61">
        <v>4.1000000000002146E-4</v>
      </c>
      <c r="G139" s="61">
        <f t="shared" si="18"/>
        <v>-4.2999999999970839E-4</v>
      </c>
      <c r="H139" s="106">
        <v>43191</v>
      </c>
      <c r="I139" s="60">
        <v>26.5</v>
      </c>
      <c r="J139" s="105">
        <f t="shared" si="19"/>
        <v>1.2521739130434746</v>
      </c>
    </row>
    <row r="140" spans="1:10" x14ac:dyDescent="0.2">
      <c r="A140" s="100">
        <f t="shared" si="16"/>
        <v>43265</v>
      </c>
      <c r="B140" s="110">
        <f t="shared" si="17"/>
        <v>43265</v>
      </c>
      <c r="C140" s="95">
        <v>43265</v>
      </c>
      <c r="D140" s="60" t="s">
        <v>194</v>
      </c>
      <c r="E140" s="61">
        <v>3.8030200000000001</v>
      </c>
      <c r="F140" s="61">
        <v>4.9999999999883471E-5</v>
      </c>
      <c r="G140" s="61">
        <f t="shared" si="18"/>
        <v>-7.8999999999984638E-4</v>
      </c>
      <c r="H140" s="106">
        <v>43252</v>
      </c>
      <c r="I140" s="60">
        <v>19.3</v>
      </c>
      <c r="J140" s="105">
        <f t="shared" si="19"/>
        <v>-5.9478260869565247</v>
      </c>
    </row>
    <row r="141" spans="1:10" x14ac:dyDescent="0.2">
      <c r="A141" s="100">
        <f t="shared" si="16"/>
        <v>43342</v>
      </c>
      <c r="B141" s="110">
        <f t="shared" si="17"/>
        <v>43342</v>
      </c>
      <c r="C141" s="95">
        <v>43342</v>
      </c>
      <c r="D141" s="60" t="s">
        <v>196</v>
      </c>
      <c r="E141" s="61">
        <v>3.8029999999999999</v>
      </c>
      <c r="F141" s="61">
        <v>2.9999999999752447E-5</v>
      </c>
      <c r="G141" s="61">
        <f t="shared" si="18"/>
        <v>-8.099999999999774E-4</v>
      </c>
      <c r="H141" s="106">
        <v>43313</v>
      </c>
      <c r="I141" s="60">
        <v>18.5</v>
      </c>
      <c r="J141" s="105">
        <f t="shared" si="19"/>
        <v>-6.7478260869565254</v>
      </c>
    </row>
    <row r="142" spans="1:10" x14ac:dyDescent="0.2">
      <c r="A142" s="100">
        <f t="shared" si="16"/>
        <v>43384</v>
      </c>
      <c r="B142" s="110">
        <f t="shared" si="17"/>
        <v>43384</v>
      </c>
      <c r="C142" s="95">
        <v>43384</v>
      </c>
      <c r="D142" s="60" t="s">
        <v>211</v>
      </c>
      <c r="E142" s="61">
        <v>3.80322</v>
      </c>
      <c r="F142" s="61">
        <v>2.4999999999986144E-4</v>
      </c>
      <c r="G142" s="61">
        <f t="shared" si="18"/>
        <v>-5.8999999999986841E-4</v>
      </c>
      <c r="H142" s="106">
        <v>43374</v>
      </c>
      <c r="I142" s="60">
        <v>23.8</v>
      </c>
      <c r="J142" s="105">
        <f t="shared" si="19"/>
        <v>-1.4478260869565247</v>
      </c>
    </row>
    <row r="143" spans="1:10" x14ac:dyDescent="0.2">
      <c r="A143" s="100">
        <f t="shared" si="16"/>
        <v>43440</v>
      </c>
      <c r="B143" s="110">
        <f t="shared" si="17"/>
        <v>43440</v>
      </c>
      <c r="C143" s="95">
        <v>43440</v>
      </c>
      <c r="D143" s="60" t="s">
        <v>213</v>
      </c>
      <c r="E143" s="61">
        <v>3.80369</v>
      </c>
      <c r="F143" s="61">
        <v>7.1999999999983189E-4</v>
      </c>
      <c r="G143" s="61">
        <f t="shared" si="18"/>
        <v>-1.1999999999989797E-4</v>
      </c>
      <c r="H143" s="106">
        <v>43435</v>
      </c>
      <c r="I143" s="60">
        <v>30.3</v>
      </c>
      <c r="J143" s="105">
        <f t="shared" si="19"/>
        <v>5.0521739130434753</v>
      </c>
    </row>
    <row r="144" spans="1:10" x14ac:dyDescent="0.2">
      <c r="A144" s="100">
        <f t="shared" si="16"/>
        <v>43474</v>
      </c>
      <c r="B144" s="110">
        <f t="shared" si="17"/>
        <v>43474</v>
      </c>
      <c r="C144" s="95">
        <v>43474</v>
      </c>
      <c r="D144" s="60" t="s">
        <v>216</v>
      </c>
      <c r="E144" s="61">
        <v>3.8036799999999999</v>
      </c>
      <c r="F144" s="61">
        <v>7.0999999999976637E-4</v>
      </c>
      <c r="G144" s="61">
        <f t="shared" si="18"/>
        <v>-1.2999999999996348E-4</v>
      </c>
      <c r="H144" s="106">
        <v>43466</v>
      </c>
      <c r="I144" s="60">
        <v>31.3</v>
      </c>
      <c r="J144" s="105">
        <f t="shared" si="19"/>
        <v>6.0521739130434753</v>
      </c>
    </row>
    <row r="145" spans="1:10" x14ac:dyDescent="0.2">
      <c r="A145" s="100">
        <f t="shared" si="16"/>
        <v>43508</v>
      </c>
      <c r="B145" s="110">
        <f t="shared" si="17"/>
        <v>43508</v>
      </c>
      <c r="C145" s="95">
        <v>43508</v>
      </c>
      <c r="D145" s="60" t="s">
        <v>217</v>
      </c>
      <c r="E145" s="61">
        <v>3.8038400000000001</v>
      </c>
      <c r="F145" s="61">
        <v>8.6999999999992639E-4</v>
      </c>
      <c r="G145" s="61">
        <f t="shared" si="18"/>
        <v>3.0000000000196536E-5</v>
      </c>
      <c r="H145" s="106">
        <v>43497</v>
      </c>
      <c r="I145" s="60">
        <v>32.200000000000003</v>
      </c>
      <c r="J145" s="105">
        <f t="shared" si="19"/>
        <v>6.9521739130434774</v>
      </c>
    </row>
    <row r="146" spans="1:10" x14ac:dyDescent="0.2">
      <c r="A146" s="100">
        <f t="shared" si="16"/>
        <v>43536</v>
      </c>
      <c r="B146" s="110">
        <f t="shared" si="17"/>
        <v>43536</v>
      </c>
      <c r="C146" s="95">
        <v>43536</v>
      </c>
      <c r="D146" s="60" t="s">
        <v>218</v>
      </c>
      <c r="E146" s="61">
        <v>3.8037299999999998</v>
      </c>
      <c r="F146" s="61">
        <v>7.5999999999964984E-4</v>
      </c>
      <c r="G146" s="61">
        <f t="shared" si="18"/>
        <v>-8.0000000000080007E-5</v>
      </c>
      <c r="H146" s="106">
        <v>43525</v>
      </c>
      <c r="I146" s="60">
        <v>31</v>
      </c>
      <c r="J146" s="105">
        <f t="shared" si="19"/>
        <v>5.7521739130434746</v>
      </c>
    </row>
    <row r="147" spans="1:10" x14ac:dyDescent="0.2">
      <c r="A147" s="100">
        <f t="shared" si="16"/>
        <v>43587</v>
      </c>
      <c r="B147" s="110">
        <f t="shared" si="17"/>
        <v>43587</v>
      </c>
      <c r="C147" s="95">
        <v>43587</v>
      </c>
      <c r="D147" s="60" t="s">
        <v>219</v>
      </c>
      <c r="E147" s="61">
        <v>3.8029600000000001</v>
      </c>
      <c r="F147" s="61">
        <v>-1.0000000000065512E-5</v>
      </c>
      <c r="G147" s="61">
        <f t="shared" si="18"/>
        <v>-8.4999999999979536E-4</v>
      </c>
      <c r="H147" s="106">
        <v>43586</v>
      </c>
      <c r="I147" s="60">
        <v>22.5</v>
      </c>
      <c r="J147" s="105">
        <f t="shared" si="19"/>
        <v>-2.7478260869565254</v>
      </c>
    </row>
    <row r="148" spans="1:10" x14ac:dyDescent="0.2">
      <c r="A148" s="100">
        <f t="shared" si="16"/>
        <v>43647</v>
      </c>
      <c r="B148" s="110">
        <f t="shared" si="17"/>
        <v>43647</v>
      </c>
      <c r="C148" s="95">
        <v>43647</v>
      </c>
      <c r="D148" s="60" t="s">
        <v>220</v>
      </c>
      <c r="E148" s="61">
        <v>3.8029700000000002</v>
      </c>
      <c r="F148" s="61">
        <v>0</v>
      </c>
      <c r="G148" s="61">
        <f t="shared" si="18"/>
        <v>-8.3999999999972985E-4</v>
      </c>
      <c r="H148" s="106">
        <v>43647</v>
      </c>
      <c r="I148" s="60">
        <v>19.3</v>
      </c>
      <c r="J148" s="105">
        <f t="shared" si="19"/>
        <v>-5.9478260869565247</v>
      </c>
    </row>
    <row r="149" spans="1:10" x14ac:dyDescent="0.2">
      <c r="A149" s="100">
        <f t="shared" si="16"/>
        <v>43678</v>
      </c>
      <c r="B149" s="110">
        <f t="shared" si="17"/>
        <v>43678</v>
      </c>
      <c r="C149" s="95">
        <v>43678</v>
      </c>
      <c r="D149" s="60" t="s">
        <v>221</v>
      </c>
      <c r="E149" s="61">
        <v>3.8029099999999998</v>
      </c>
      <c r="F149" s="61">
        <v>-6.0000000000393072E-5</v>
      </c>
      <c r="G149" s="61">
        <f t="shared" si="18"/>
        <v>-9.0000000000012292E-4</v>
      </c>
      <c r="H149" s="106">
        <v>43678</v>
      </c>
      <c r="I149" s="60">
        <v>20.2</v>
      </c>
      <c r="J149" s="105">
        <f t="shared" si="19"/>
        <v>-5.0478260869565261</v>
      </c>
    </row>
    <row r="150" spans="1:10" x14ac:dyDescent="0.2">
      <c r="A150" s="100">
        <f t="shared" si="16"/>
        <v>43719</v>
      </c>
      <c r="B150" s="110">
        <f t="shared" si="17"/>
        <v>43719</v>
      </c>
      <c r="C150" s="95">
        <v>43719</v>
      </c>
      <c r="D150" s="60" t="s">
        <v>222</v>
      </c>
      <c r="E150" s="61">
        <v>3.8031899999999998</v>
      </c>
      <c r="F150" s="61">
        <v>2.1999999999966491E-4</v>
      </c>
      <c r="G150" s="61">
        <f t="shared" si="18"/>
        <v>-6.2000000000006494E-4</v>
      </c>
      <c r="H150" s="106">
        <v>43709</v>
      </c>
      <c r="I150" s="60">
        <v>23.1</v>
      </c>
      <c r="J150" s="105">
        <f t="shared" si="19"/>
        <v>-2.147826086956524</v>
      </c>
    </row>
    <row r="151" spans="1:10" x14ac:dyDescent="0.2">
      <c r="A151" s="100">
        <f t="shared" si="16"/>
        <v>43762</v>
      </c>
      <c r="B151" s="110">
        <f t="shared" si="17"/>
        <v>43762</v>
      </c>
      <c r="C151" s="95">
        <v>43762</v>
      </c>
      <c r="D151" s="60" t="s">
        <v>223</v>
      </c>
      <c r="E151" s="61">
        <v>3.8033199999999998</v>
      </c>
      <c r="F151" s="61">
        <v>3.4999999999962839E-4</v>
      </c>
      <c r="G151" s="61">
        <f t="shared" si="18"/>
        <v>-4.9000000000010147E-4</v>
      </c>
      <c r="H151" s="106">
        <v>43739</v>
      </c>
      <c r="I151" s="60">
        <v>24.7</v>
      </c>
      <c r="J151" s="105">
        <f t="shared" si="19"/>
        <v>-0.54782608695652613</v>
      </c>
    </row>
    <row r="152" spans="1:10" x14ac:dyDescent="0.2">
      <c r="A152" s="100">
        <f t="shared" si="16"/>
        <v>43790</v>
      </c>
      <c r="B152" s="110">
        <f t="shared" si="17"/>
        <v>43790</v>
      </c>
      <c r="C152" s="95">
        <v>43790</v>
      </c>
      <c r="D152" s="60" t="s">
        <v>224</v>
      </c>
      <c r="E152" s="61">
        <v>3.8035899999999998</v>
      </c>
      <c r="F152" s="61">
        <v>6.1999999999962085E-4</v>
      </c>
      <c r="G152" s="61">
        <f t="shared" si="18"/>
        <v>-2.20000000000109E-4</v>
      </c>
      <c r="H152" s="106">
        <v>43770</v>
      </c>
      <c r="I152" s="60">
        <v>29.8</v>
      </c>
      <c r="J152" s="105">
        <f t="shared" si="19"/>
        <v>4.5521739130434753</v>
      </c>
    </row>
    <row r="153" spans="1:10" x14ac:dyDescent="0.2">
      <c r="A153" s="100">
        <f t="shared" si="16"/>
        <v>43809</v>
      </c>
      <c r="B153" s="110">
        <f t="shared" si="17"/>
        <v>43809</v>
      </c>
      <c r="C153" s="95">
        <v>43809</v>
      </c>
      <c r="D153" s="60" t="s">
        <v>225</v>
      </c>
      <c r="E153" s="61">
        <v>3.8036699999999999</v>
      </c>
      <c r="F153" s="61">
        <v>6.9999999999970086E-4</v>
      </c>
      <c r="G153" s="61">
        <f t="shared" si="18"/>
        <v>-1.4000000000002899E-4</v>
      </c>
      <c r="H153" s="106">
        <v>43800</v>
      </c>
    </row>
    <row r="154" spans="1:10" x14ac:dyDescent="0.2">
      <c r="A154" s="101" t="s">
        <v>242</v>
      </c>
      <c r="B154" s="60"/>
      <c r="C154" s="60"/>
      <c r="D154" s="60"/>
      <c r="E154" s="61">
        <f>MIN(E127:E153)</f>
        <v>9.3000000000031946E-4</v>
      </c>
      <c r="F154" s="61">
        <f>MIN(F127:F153)</f>
        <v>-6.0000000000393072E-5</v>
      </c>
      <c r="G154" s="61">
        <f>MIN(G127:G153)</f>
        <v>-9.0000000000012292E-4</v>
      </c>
    </row>
    <row r="155" spans="1:10" x14ac:dyDescent="0.2">
      <c r="A155" s="101" t="s">
        <v>243</v>
      </c>
      <c r="B155" s="60"/>
      <c r="C155" s="60"/>
      <c r="D155" s="60"/>
      <c r="E155" s="61">
        <f>MAX(E127:E153)</f>
        <v>3.8038400000000001</v>
      </c>
      <c r="F155" s="61">
        <f>MAX(F127:F153)</f>
        <v>9.3000000000031946E-4</v>
      </c>
      <c r="G155" s="61">
        <f>MAX(G127:G153)</f>
        <v>9.3000000000031946E-4</v>
      </c>
    </row>
    <row r="156" spans="1:10" x14ac:dyDescent="0.2">
      <c r="A156" s="101" t="s">
        <v>244</v>
      </c>
      <c r="B156" s="60"/>
      <c r="C156" s="60"/>
      <c r="D156" s="60"/>
      <c r="E156" s="61">
        <f>E155-E154</f>
        <v>3.8029099999999998</v>
      </c>
      <c r="F156" s="61">
        <f t="shared" ref="F156" si="20">F155-F154</f>
        <v>9.9000000000071253E-4</v>
      </c>
      <c r="G156" s="61">
        <f t="shared" ref="G156" si="21">G155-G154</f>
        <v>1.8300000000004424E-3</v>
      </c>
    </row>
    <row r="157" spans="1:10" x14ac:dyDescent="0.2">
      <c r="A157" s="102" t="s">
        <v>239</v>
      </c>
      <c r="B157" s="71"/>
      <c r="C157" s="71"/>
      <c r="D157" s="71"/>
      <c r="E157" s="84">
        <f>AVERAGE(E127:E153)</f>
        <v>3.6449941885964914</v>
      </c>
      <c r="F157" s="84">
        <f>AVERAGE(F127:F153)</f>
        <v>4.8127192982435637E-4</v>
      </c>
      <c r="G157" s="84">
        <f>AVERAGE(G127:G153)</f>
        <v>-3.2372807017538472E-4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2EF6-9963-4DA9-BB00-0508037DEF0C}">
  <sheetPr codeName="Sheet13"/>
  <dimension ref="A1:AN95"/>
  <sheetViews>
    <sheetView zoomScale="55" zoomScaleNormal="55" workbookViewId="0">
      <selection activeCell="B23" sqref="B23"/>
    </sheetView>
  </sheetViews>
  <sheetFormatPr defaultRowHeight="15" x14ac:dyDescent="0.2"/>
  <cols>
    <col min="1" max="1" width="5.88671875" customWidth="1"/>
    <col min="2" max="3" width="12.44140625" bestFit="1" customWidth="1"/>
    <col min="4" max="4" width="9.88671875" bestFit="1" customWidth="1"/>
    <col min="5" max="5" width="12.44140625" bestFit="1" customWidth="1"/>
    <col min="6" max="7" width="11.88671875" bestFit="1" customWidth="1"/>
    <col min="8" max="17" width="11.21875" bestFit="1" customWidth="1"/>
    <col min="18" max="32" width="11.6640625" bestFit="1" customWidth="1"/>
    <col min="33" max="40" width="11.88671875" bestFit="1" customWidth="1"/>
  </cols>
  <sheetData>
    <row r="1" spans="1:40" x14ac:dyDescent="0.2">
      <c r="B1" t="s">
        <v>427</v>
      </c>
      <c r="C1" t="s">
        <v>418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0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0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0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0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0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0" x14ac:dyDescent="0.2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0" ht="15.75" x14ac:dyDescent="0.25">
      <c r="A23" s="32" t="s">
        <v>389</v>
      </c>
      <c r="B23">
        <f t="shared" ref="B23:E23" si="0">SUM(B3:B22)</f>
        <v>3.8031000000000001</v>
      </c>
      <c r="C23">
        <f t="shared" si="0"/>
        <v>3.8039199999999993</v>
      </c>
      <c r="D23">
        <f t="shared" si="0"/>
        <v>3.8034500000000002</v>
      </c>
      <c r="E23">
        <f t="shared" si="0"/>
        <v>3.8031100000000002</v>
      </c>
      <c r="F23">
        <f>SUM(F3:F22)</f>
        <v>3.8028500000000003</v>
      </c>
      <c r="G23">
        <f>SUM(G3:G22)</f>
        <v>3.8030100000000009</v>
      </c>
      <c r="H23">
        <f>SUM(H3:H22)</f>
        <v>3.8029300000000004</v>
      </c>
      <c r="I23">
        <f>SUM(I3:I22)</f>
        <v>3.8030199999999992</v>
      </c>
      <c r="J23">
        <f t="shared" ref="J23:AN23" si="1">SUM(J3:J22)</f>
        <v>3.80294</v>
      </c>
      <c r="K23">
        <f t="shared" si="1"/>
        <v>3.8032000000000008</v>
      </c>
      <c r="L23">
        <f t="shared" si="1"/>
        <v>3.8035400000000004</v>
      </c>
      <c r="M23">
        <f t="shared" si="1"/>
        <v>3.8036099999999995</v>
      </c>
      <c r="N23">
        <f t="shared" si="1"/>
        <v>3.8036500000000002</v>
      </c>
      <c r="O23">
        <f t="shared" si="1"/>
        <v>3.8035899999999994</v>
      </c>
      <c r="P23">
        <f t="shared" si="1"/>
        <v>3.8033199999999998</v>
      </c>
      <c r="Q23">
        <f t="shared" si="1"/>
        <v>3.8031999999999999</v>
      </c>
      <c r="R23">
        <f t="shared" si="1"/>
        <v>3.8029299999999999</v>
      </c>
      <c r="S23">
        <f t="shared" si="1"/>
        <v>3.8032800000000004</v>
      </c>
      <c r="T23">
        <f t="shared" si="1"/>
        <v>3.8029600000000001</v>
      </c>
      <c r="U23">
        <f t="shared" si="1"/>
        <v>3.8037000000000005</v>
      </c>
      <c r="V23">
        <f t="shared" si="1"/>
        <v>3.8038399999999997</v>
      </c>
      <c r="W23">
        <f t="shared" si="1"/>
        <v>3.8036899999999996</v>
      </c>
      <c r="X23">
        <f t="shared" si="1"/>
        <v>3.8036900000000005</v>
      </c>
      <c r="Y23">
        <f t="shared" si="1"/>
        <v>3.8032100000000004</v>
      </c>
      <c r="Z23">
        <f t="shared" si="1"/>
        <v>3.8030200000000001</v>
      </c>
      <c r="AA23">
        <f t="shared" si="1"/>
        <v>3.80301</v>
      </c>
      <c r="AB23">
        <f t="shared" si="1"/>
        <v>3.8033800000000006</v>
      </c>
      <c r="AC23">
        <f t="shared" si="1"/>
        <v>3.8035799999999997</v>
      </c>
      <c r="AD23">
        <f t="shared" si="1"/>
        <v>3.8037500000000004</v>
      </c>
      <c r="AE23">
        <f t="shared" si="1"/>
        <v>3.8038000000000003</v>
      </c>
      <c r="AF23">
        <f t="shared" si="1"/>
        <v>3.8037500000000009</v>
      </c>
      <c r="AG23">
        <f t="shared" si="1"/>
        <v>3.8031700000000002</v>
      </c>
      <c r="AH23">
        <f t="shared" si="1"/>
        <v>3.8037800000000006</v>
      </c>
      <c r="AI23">
        <f t="shared" si="1"/>
        <v>3.80314</v>
      </c>
      <c r="AJ23">
        <f t="shared" si="1"/>
        <v>3.8036999999999996</v>
      </c>
      <c r="AK23">
        <f t="shared" si="1"/>
        <v>3.8038900000000009</v>
      </c>
      <c r="AL23">
        <f t="shared" si="1"/>
        <v>3.8029499999999996</v>
      </c>
      <c r="AM23">
        <f t="shared" si="1"/>
        <v>3.8029900000000008</v>
      </c>
      <c r="AN23">
        <f t="shared" si="1"/>
        <v>3.8039099999999997</v>
      </c>
    </row>
    <row r="24" spans="1:40" x14ac:dyDescent="0.2">
      <c r="A24" s="32"/>
      <c r="B24" s="32"/>
      <c r="C24" s="32"/>
      <c r="D24" s="32"/>
      <c r="E24" s="32"/>
      <c r="F24" s="32"/>
      <c r="G24" s="32"/>
      <c r="H24" s="32"/>
    </row>
    <row r="25" spans="1:40" ht="15.75" x14ac:dyDescent="0.25">
      <c r="A25" s="32" t="s">
        <v>345</v>
      </c>
      <c r="B25" s="32"/>
      <c r="C25" s="32"/>
      <c r="D25" s="32"/>
      <c r="E25" s="32"/>
      <c r="F25" s="32"/>
      <c r="G25" s="32"/>
      <c r="H25" s="32"/>
    </row>
    <row r="26" spans="1:40" ht="15.75" thickBot="1" x14ac:dyDescent="0.25">
      <c r="A26" s="32" t="s">
        <v>346</v>
      </c>
      <c r="B26" s="32"/>
      <c r="C26" s="32"/>
      <c r="D26" s="32"/>
      <c r="E26" s="32"/>
      <c r="F26" s="32"/>
      <c r="G26" s="32"/>
      <c r="H26" s="32"/>
    </row>
    <row r="27" spans="1:40" ht="15.75" x14ac:dyDescent="0.2">
      <c r="A27" t="s">
        <v>269</v>
      </c>
      <c r="B27" s="116" t="s">
        <v>431</v>
      </c>
      <c r="C27" s="116" t="s">
        <v>431</v>
      </c>
      <c r="D27" s="116" t="s">
        <v>430</v>
      </c>
      <c r="E27" s="116" t="s">
        <v>429</v>
      </c>
      <c r="F27" s="116" t="s">
        <v>406</v>
      </c>
      <c r="G27" s="116" t="s">
        <v>400</v>
      </c>
      <c r="H27" s="116" t="s">
        <v>392</v>
      </c>
      <c r="I27" s="116" t="s">
        <v>347</v>
      </c>
      <c r="J27" s="116" t="s">
        <v>348</v>
      </c>
      <c r="K27" s="116" t="s">
        <v>349</v>
      </c>
      <c r="L27" s="116" t="s">
        <v>350</v>
      </c>
      <c r="M27" s="116" t="s">
        <v>351</v>
      </c>
      <c r="N27" s="116" t="s">
        <v>352</v>
      </c>
      <c r="O27" s="116" t="s">
        <v>312</v>
      </c>
      <c r="Q27" s="117" t="s">
        <v>353</v>
      </c>
      <c r="R27" s="118" t="s">
        <v>354</v>
      </c>
      <c r="S27" s="119" t="s">
        <v>355</v>
      </c>
    </row>
    <row r="28" spans="1:40" x14ac:dyDescent="0.2">
      <c r="A28" s="32" t="s">
        <v>270</v>
      </c>
      <c r="B28">
        <f>B3-$P$3</f>
        <v>0</v>
      </c>
      <c r="C28">
        <f t="shared" ref="C28" si="2">C3-$P$3</f>
        <v>9.0000000000006741E-5</v>
      </c>
      <c r="D28">
        <f t="shared" ref="D28:I28" si="3">D3-$P$3</f>
        <v>7.0000000000000617E-5</v>
      </c>
      <c r="E28">
        <f t="shared" si="3"/>
        <v>-4.9999999999994493E-5</v>
      </c>
      <c r="F28">
        <f t="shared" si="3"/>
        <v>-7.0000000000000617E-5</v>
      </c>
      <c r="G28">
        <f t="shared" si="3"/>
        <v>1.0000000000010001E-5</v>
      </c>
      <c r="H28">
        <f t="shared" si="3"/>
        <v>3.0000000000002247E-5</v>
      </c>
      <c r="I28">
        <f t="shared" si="3"/>
        <v>-3.999999999999837E-5</v>
      </c>
      <c r="J28">
        <f t="shared" ref="J28:O28" si="4">J3-$P$3</f>
        <v>-1.4000000000000123E-4</v>
      </c>
      <c r="K28">
        <f t="shared" si="4"/>
        <v>-4.9999999999994493E-5</v>
      </c>
      <c r="L28">
        <f t="shared" si="4"/>
        <v>5.0000000000008371E-5</v>
      </c>
      <c r="M28">
        <f t="shared" si="4"/>
        <v>-1.9999999999992246E-5</v>
      </c>
      <c r="N28">
        <f t="shared" si="4"/>
        <v>-1.0999999999999899E-4</v>
      </c>
      <c r="O28">
        <f t="shared" si="4"/>
        <v>-3.0000000000002247E-5</v>
      </c>
      <c r="Q28" s="120">
        <f>MIN(D28:O28)</f>
        <v>-1.4000000000000123E-4</v>
      </c>
      <c r="R28" s="60">
        <f>MAX(D28:O28)</f>
        <v>7.0000000000000617E-5</v>
      </c>
      <c r="S28" s="121">
        <f>R28-Q28</f>
        <v>2.1000000000000185E-4</v>
      </c>
    </row>
    <row r="29" spans="1:40" x14ac:dyDescent="0.2">
      <c r="A29" s="32" t="s">
        <v>271</v>
      </c>
      <c r="B29">
        <f t="shared" ref="B29" si="5">B4-$P$4</f>
        <v>1.9999999999992246E-5</v>
      </c>
      <c r="C29">
        <f t="shared" ref="C29:D29" si="6">C4-$P$4</f>
        <v>-3.9999999999984492E-5</v>
      </c>
      <c r="D29">
        <f t="shared" si="6"/>
        <v>1.0000000000010001E-5</v>
      </c>
      <c r="E29">
        <f t="shared" ref="E29:F29" si="7">E4-$P$4</f>
        <v>1.9999999999992246E-5</v>
      </c>
      <c r="F29">
        <f t="shared" si="7"/>
        <v>7.0000000000014495E-5</v>
      </c>
      <c r="G29">
        <f t="shared" ref="G29:H29" si="8">G4-$P$4</f>
        <v>4.0000000000012248E-5</v>
      </c>
      <c r="H29">
        <f t="shared" si="8"/>
        <v>4.0000000000012248E-5</v>
      </c>
      <c r="I29">
        <f t="shared" ref="I29:O29" si="9">I4-$P$4</f>
        <v>3.0000000000002247E-5</v>
      </c>
      <c r="J29">
        <f t="shared" si="9"/>
        <v>6.0000000000004494E-5</v>
      </c>
      <c r="K29">
        <f t="shared" si="9"/>
        <v>4.9999999999994493E-5</v>
      </c>
      <c r="L29">
        <f t="shared" si="9"/>
        <v>1.0000000000010001E-5</v>
      </c>
      <c r="M29">
        <f t="shared" si="9"/>
        <v>1.9999999999992246E-5</v>
      </c>
      <c r="N29">
        <f t="shared" si="9"/>
        <v>3.0000000000002247E-5</v>
      </c>
      <c r="O29">
        <f t="shared" si="9"/>
        <v>7.0000000000014495E-5</v>
      </c>
      <c r="Q29" s="120">
        <f t="shared" ref="Q29:Q47" si="10">MIN(D29:O29)</f>
        <v>1.0000000000010001E-5</v>
      </c>
      <c r="R29" s="60">
        <f t="shared" ref="R29:R47" si="11">MAX(D29:O29)</f>
        <v>7.0000000000014495E-5</v>
      </c>
      <c r="S29" s="121">
        <f t="shared" ref="S29:S47" si="12">R29-Q29</f>
        <v>6.0000000000004494E-5</v>
      </c>
    </row>
    <row r="30" spans="1:40" x14ac:dyDescent="0.2">
      <c r="A30" s="32" t="s">
        <v>272</v>
      </c>
      <c r="B30">
        <f t="shared" ref="B30" si="13">B5-$P$5</f>
        <v>-3.0000000000002247E-5</v>
      </c>
      <c r="C30">
        <f t="shared" ref="C30:D30" si="14">C5-$P$5</f>
        <v>-6.0000000000004494E-5</v>
      </c>
      <c r="D30">
        <f t="shared" si="14"/>
        <v>-3.0000000000002247E-5</v>
      </c>
      <c r="E30">
        <f t="shared" ref="E30:F30" si="15">E5-$P$5</f>
        <v>-4.0000000000012248E-5</v>
      </c>
      <c r="F30">
        <f t="shared" si="15"/>
        <v>-1.4000000000000123E-4</v>
      </c>
      <c r="G30">
        <f t="shared" ref="G30:H30" si="16">G5-$P$5</f>
        <v>-7.0000000000014495E-5</v>
      </c>
      <c r="H30">
        <f t="shared" si="16"/>
        <v>-4.9999999999994493E-5</v>
      </c>
      <c r="I30">
        <f t="shared" ref="I30:O30" si="17">I5-$P$5</f>
        <v>-4.0000000000012248E-5</v>
      </c>
      <c r="J30">
        <f t="shared" si="17"/>
        <v>-4.0000000000012248E-5</v>
      </c>
      <c r="K30">
        <f t="shared" si="17"/>
        <v>-3.0000000000002247E-5</v>
      </c>
      <c r="L30">
        <f t="shared" si="17"/>
        <v>-7.999999999999674E-5</v>
      </c>
      <c r="M30">
        <f t="shared" si="17"/>
        <v>-6.0000000000004494E-5</v>
      </c>
      <c r="N30">
        <f t="shared" si="17"/>
        <v>-1.0000000000010001E-5</v>
      </c>
      <c r="O30">
        <f t="shared" si="17"/>
        <v>0</v>
      </c>
      <c r="Q30" s="120">
        <f t="shared" si="10"/>
        <v>-1.4000000000000123E-4</v>
      </c>
      <c r="R30" s="60">
        <f t="shared" si="11"/>
        <v>0</v>
      </c>
      <c r="S30" s="121">
        <f t="shared" si="12"/>
        <v>1.4000000000000123E-4</v>
      </c>
    </row>
    <row r="31" spans="1:40" x14ac:dyDescent="0.2">
      <c r="A31" s="32" t="s">
        <v>273</v>
      </c>
      <c r="B31">
        <f t="shared" ref="B31" si="18">B6-$P$6</f>
        <v>-3.0000000000002247E-5</v>
      </c>
      <c r="C31">
        <f t="shared" ref="C31:D31" si="19">C6-$P$6</f>
        <v>1.0000000000010001E-5</v>
      </c>
      <c r="D31">
        <f t="shared" si="19"/>
        <v>-4.9999999999994493E-5</v>
      </c>
      <c r="E31">
        <f t="shared" ref="E31:F31" si="20">E6-$P$6</f>
        <v>0</v>
      </c>
      <c r="F31">
        <f t="shared" si="20"/>
        <v>7.0000000000014495E-5</v>
      </c>
      <c r="G31">
        <f t="shared" ref="G31:H31" si="21">G6-$P$6</f>
        <v>0</v>
      </c>
      <c r="H31">
        <f t="shared" si="21"/>
        <v>0</v>
      </c>
      <c r="I31">
        <f t="shared" ref="I31:O31" si="22">I6-$P$6</f>
        <v>-6.0000000000004494E-5</v>
      </c>
      <c r="J31">
        <f t="shared" si="22"/>
        <v>-1.0000000000010001E-5</v>
      </c>
      <c r="K31">
        <f t="shared" si="22"/>
        <v>-1.0000000000010001E-5</v>
      </c>
      <c r="L31">
        <f t="shared" si="22"/>
        <v>4.0000000000012248E-5</v>
      </c>
      <c r="M31">
        <f t="shared" si="22"/>
        <v>1.9999999999992246E-5</v>
      </c>
      <c r="N31">
        <f t="shared" si="22"/>
        <v>-3.0000000000002247E-5</v>
      </c>
      <c r="O31">
        <f t="shared" si="22"/>
        <v>-1.0000000000010001E-5</v>
      </c>
      <c r="Q31" s="120">
        <f t="shared" si="10"/>
        <v>-6.0000000000004494E-5</v>
      </c>
      <c r="R31" s="60">
        <f t="shared" si="11"/>
        <v>7.0000000000014495E-5</v>
      </c>
      <c r="S31" s="121">
        <f t="shared" si="12"/>
        <v>1.3000000000001899E-4</v>
      </c>
    </row>
    <row r="32" spans="1:40" x14ac:dyDescent="0.2">
      <c r="A32" s="32" t="s">
        <v>281</v>
      </c>
      <c r="B32">
        <f t="shared" ref="B32" si="23">B7-$P$7</f>
        <v>3.0000000000002247E-5</v>
      </c>
      <c r="C32">
        <f t="shared" ref="C32:D32" si="24">C7-$P$7</f>
        <v>-9.9999999999822453E-6</v>
      </c>
      <c r="D32">
        <f t="shared" si="24"/>
        <v>4.0000000000012248E-5</v>
      </c>
      <c r="E32">
        <f t="shared" ref="E32:F32" si="25">E7-$P$7</f>
        <v>1.0000000000010001E-5</v>
      </c>
      <c r="F32">
        <f t="shared" si="25"/>
        <v>1.0000000000010001E-5</v>
      </c>
      <c r="G32">
        <f t="shared" ref="G32:H32" si="26">G7-$P$7</f>
        <v>4.0000000000012248E-5</v>
      </c>
      <c r="H32">
        <f t="shared" si="26"/>
        <v>-4.9999999999994493E-5</v>
      </c>
      <c r="I32">
        <f t="shared" ref="I32:O32" si="27">I7-$P$7</f>
        <v>3.0000000000002247E-5</v>
      </c>
      <c r="J32">
        <f t="shared" si="27"/>
        <v>1.0000000000010001E-5</v>
      </c>
      <c r="K32">
        <f t="shared" si="27"/>
        <v>1.0000000000010001E-5</v>
      </c>
      <c r="L32">
        <f t="shared" si="27"/>
        <v>-9.9999999999822453E-6</v>
      </c>
      <c r="M32">
        <f t="shared" si="27"/>
        <v>4.0000000000012248E-5</v>
      </c>
      <c r="N32">
        <f t="shared" si="27"/>
        <v>6.0000000000004494E-5</v>
      </c>
      <c r="O32">
        <f t="shared" si="27"/>
        <v>3.0000000000002247E-5</v>
      </c>
      <c r="Q32" s="120">
        <f t="shared" si="10"/>
        <v>-4.9999999999994493E-5</v>
      </c>
      <c r="R32" s="60">
        <f t="shared" si="11"/>
        <v>6.0000000000004494E-5</v>
      </c>
      <c r="S32" s="121">
        <f t="shared" si="12"/>
        <v>1.0999999999999899E-4</v>
      </c>
    </row>
    <row r="33" spans="1:19" x14ac:dyDescent="0.2">
      <c r="A33" s="32" t="s">
        <v>274</v>
      </c>
      <c r="B33">
        <f t="shared" ref="B33" si="28">B8-$P$8</f>
        <v>4.9999999999994493E-5</v>
      </c>
      <c r="C33">
        <f t="shared" ref="C33:D33" si="29">C8-$P$8</f>
        <v>1.0999999999999899E-4</v>
      </c>
      <c r="D33">
        <f t="shared" si="29"/>
        <v>3.0000000000002247E-5</v>
      </c>
      <c r="E33">
        <f t="shared" ref="E33:F33" si="30">E8-$P$8</f>
        <v>4.9999999999994493E-5</v>
      </c>
      <c r="F33">
        <f t="shared" si="30"/>
        <v>1.0000000000010001E-5</v>
      </c>
      <c r="G33">
        <f t="shared" ref="G33:H33" si="31">G8-$P$8</f>
        <v>1.0000000000010001E-5</v>
      </c>
      <c r="H33">
        <f t="shared" si="31"/>
        <v>4.0000000000012248E-5</v>
      </c>
      <c r="I33">
        <f t="shared" ref="I33:O33" si="32">I8-$P$8</f>
        <v>6.0000000000004494E-5</v>
      </c>
      <c r="J33">
        <f t="shared" si="32"/>
        <v>9.0000000000006741E-5</v>
      </c>
      <c r="K33">
        <f t="shared" si="32"/>
        <v>7.999999999999674E-5</v>
      </c>
      <c r="L33">
        <f t="shared" si="32"/>
        <v>9.0000000000006741E-5</v>
      </c>
      <c r="M33">
        <f t="shared" si="32"/>
        <v>7.0000000000014495E-5</v>
      </c>
      <c r="N33">
        <f t="shared" si="32"/>
        <v>7.0000000000014495E-5</v>
      </c>
      <c r="O33">
        <f t="shared" si="32"/>
        <v>6.0000000000004494E-5</v>
      </c>
      <c r="Q33" s="120">
        <f t="shared" si="10"/>
        <v>1.0000000000010001E-5</v>
      </c>
      <c r="R33" s="60">
        <f t="shared" si="11"/>
        <v>9.0000000000006741E-5</v>
      </c>
      <c r="S33" s="121">
        <f t="shared" si="12"/>
        <v>7.999999999999674E-5</v>
      </c>
    </row>
    <row r="34" spans="1:19" x14ac:dyDescent="0.2">
      <c r="A34" s="32" t="s">
        <v>275</v>
      </c>
      <c r="B34">
        <f t="shared" ref="B34" si="33">B9-$P$9</f>
        <v>-7.0000000000014495E-5</v>
      </c>
      <c r="C34">
        <f t="shared" ref="C34:D34" si="34">C9-$P$9</f>
        <v>1.9999999999992246E-5</v>
      </c>
      <c r="D34">
        <f t="shared" si="34"/>
        <v>-3.0000000000002247E-5</v>
      </c>
      <c r="E34">
        <f t="shared" ref="E34:F34" si="35">E9-$P$9</f>
        <v>-3.0000000000002247E-5</v>
      </c>
      <c r="F34">
        <f t="shared" si="35"/>
        <v>-6.0000000000004494E-5</v>
      </c>
      <c r="G34">
        <f t="shared" ref="G34:H34" si="36">G9-$P$9</f>
        <v>-1.0000000000010001E-5</v>
      </c>
      <c r="H34">
        <f t="shared" si="36"/>
        <v>-4.0000000000012248E-5</v>
      </c>
      <c r="I34">
        <f t="shared" ref="I34:O34" si="37">I9-$P$9</f>
        <v>-3.0000000000002247E-5</v>
      </c>
      <c r="J34">
        <f t="shared" si="37"/>
        <v>-1.0000000000001674E-4</v>
      </c>
      <c r="K34">
        <f t="shared" si="37"/>
        <v>-6.0000000000004494E-5</v>
      </c>
      <c r="L34">
        <f t="shared" si="37"/>
        <v>-2.0000000000020002E-5</v>
      </c>
      <c r="M34">
        <f t="shared" si="37"/>
        <v>-4.0000000000012248E-5</v>
      </c>
      <c r="N34">
        <f t="shared" si="37"/>
        <v>9.9999999999822453E-6</v>
      </c>
      <c r="O34">
        <f t="shared" si="37"/>
        <v>-9.0000000000006741E-5</v>
      </c>
      <c r="Q34" s="120">
        <f t="shared" si="10"/>
        <v>-1.0000000000001674E-4</v>
      </c>
      <c r="R34" s="60">
        <f t="shared" si="11"/>
        <v>9.9999999999822453E-6</v>
      </c>
      <c r="S34" s="121">
        <f t="shared" si="12"/>
        <v>1.0999999999999899E-4</v>
      </c>
    </row>
    <row r="35" spans="1:19" x14ac:dyDescent="0.2">
      <c r="A35" s="32" t="s">
        <v>276</v>
      </c>
      <c r="B35">
        <f t="shared" ref="B35" si="38">B10-$P$10</f>
        <v>2.0000000000020002E-5</v>
      </c>
      <c r="C35">
        <f t="shared" ref="C35:D35" si="39">C10-$P$10</f>
        <v>2.0000000000020002E-5</v>
      </c>
      <c r="D35">
        <f t="shared" si="39"/>
        <v>4.0000000000012248E-5</v>
      </c>
      <c r="E35">
        <f t="shared" ref="E35:F35" si="40">E10-$P$10</f>
        <v>-9.9999999999822453E-6</v>
      </c>
      <c r="F35">
        <f t="shared" si="40"/>
        <v>-5.9999999999976739E-5</v>
      </c>
      <c r="G35">
        <f t="shared" ref="G35:H35" si="41">G10-$P$10</f>
        <v>1.0000000000010001E-5</v>
      </c>
      <c r="H35">
        <f t="shared" si="41"/>
        <v>-1.9999999999992246E-5</v>
      </c>
      <c r="I35">
        <f t="shared" ref="I35:O35" si="42">I10-$P$10</f>
        <v>-9.9999999999822453E-6</v>
      </c>
      <c r="J35">
        <f t="shared" si="42"/>
        <v>4.0000000000012248E-5</v>
      </c>
      <c r="K35">
        <f t="shared" si="42"/>
        <v>3.0000000000002247E-5</v>
      </c>
      <c r="L35">
        <f t="shared" si="42"/>
        <v>3.0000000000002247E-5</v>
      </c>
      <c r="M35">
        <f t="shared" si="42"/>
        <v>3.0000000000002247E-5</v>
      </c>
      <c r="N35">
        <f t="shared" si="42"/>
        <v>3.0000000000002247E-5</v>
      </c>
      <c r="O35">
        <f t="shared" si="42"/>
        <v>2.0000000000020002E-5</v>
      </c>
      <c r="Q35" s="120">
        <f t="shared" si="10"/>
        <v>-5.9999999999976739E-5</v>
      </c>
      <c r="R35" s="60">
        <f t="shared" si="11"/>
        <v>4.0000000000012248E-5</v>
      </c>
      <c r="S35" s="121">
        <f t="shared" si="12"/>
        <v>9.9999999999988987E-5</v>
      </c>
    </row>
    <row r="36" spans="1:19" x14ac:dyDescent="0.2">
      <c r="A36" s="32" t="s">
        <v>277</v>
      </c>
      <c r="B36">
        <f t="shared" ref="B36" si="43">B11-$P$11</f>
        <v>-3.9999999999984492E-5</v>
      </c>
      <c r="C36">
        <f t="shared" ref="C36:D36" si="44">C11-$P$11</f>
        <v>1.0000000000010001E-5</v>
      </c>
      <c r="D36">
        <f t="shared" si="44"/>
        <v>-6.0000000000004494E-5</v>
      </c>
      <c r="E36">
        <f t="shared" ref="E36:F36" si="45">E11-$P$11</f>
        <v>-3.9999999999984492E-5</v>
      </c>
      <c r="F36">
        <f t="shared" si="45"/>
        <v>-1.0000000000010001E-5</v>
      </c>
      <c r="G36">
        <f t="shared" ref="G36:H36" si="46">G11-$P$11</f>
        <v>-4.9999999999994493E-5</v>
      </c>
      <c r="H36">
        <f t="shared" si="46"/>
        <v>-2.0000000000020002E-5</v>
      </c>
      <c r="I36">
        <f t="shared" ref="I36:O36" si="47">I11-$P$11</f>
        <v>-4.9999999999994493E-5</v>
      </c>
      <c r="J36">
        <f t="shared" si="47"/>
        <v>-1.0000000000010001E-5</v>
      </c>
      <c r="K36">
        <f t="shared" si="47"/>
        <v>-3.0000000000030003E-5</v>
      </c>
      <c r="L36">
        <f t="shared" si="47"/>
        <v>-3.0000000000030003E-5</v>
      </c>
      <c r="M36">
        <f t="shared" si="47"/>
        <v>-4.9999999999994493E-5</v>
      </c>
      <c r="N36">
        <f t="shared" si="47"/>
        <v>0</v>
      </c>
      <c r="O36">
        <f t="shared" si="47"/>
        <v>-2.0000000000020002E-5</v>
      </c>
      <c r="Q36" s="120">
        <f t="shared" si="10"/>
        <v>-6.0000000000004494E-5</v>
      </c>
      <c r="R36" s="60">
        <f t="shared" si="11"/>
        <v>0</v>
      </c>
      <c r="S36" s="121">
        <f t="shared" si="12"/>
        <v>6.0000000000004494E-5</v>
      </c>
    </row>
    <row r="37" spans="1:19" x14ac:dyDescent="0.2">
      <c r="A37" s="32" t="s">
        <v>278</v>
      </c>
      <c r="B37">
        <f t="shared" ref="B37" si="48">B12-$P$12</f>
        <v>0</v>
      </c>
      <c r="C37">
        <f t="shared" ref="C37:D37" si="49">C12-$P$12</f>
        <v>-1.9999999999964491E-5</v>
      </c>
      <c r="D37">
        <f t="shared" si="49"/>
        <v>5.0000000000050004E-5</v>
      </c>
      <c r="E37">
        <f t="shared" ref="E37:F37" si="50">E12-$P$12</f>
        <v>-1.9999999999964491E-5</v>
      </c>
      <c r="F37">
        <f t="shared" si="50"/>
        <v>-6.0000000000004494E-5</v>
      </c>
      <c r="G37">
        <f t="shared" ref="G37:H37" si="51">G12-$P$12</f>
        <v>0</v>
      </c>
      <c r="H37">
        <f t="shared" si="51"/>
        <v>1.0000000000010001E-5</v>
      </c>
      <c r="I37">
        <f t="shared" ref="I37:O37" si="52">I12-$P$12</f>
        <v>2.0000000000020002E-5</v>
      </c>
      <c r="J37">
        <f t="shared" si="52"/>
        <v>-1.9999999999964491E-5</v>
      </c>
      <c r="K37">
        <f t="shared" si="52"/>
        <v>-1.9999999999964491E-5</v>
      </c>
      <c r="L37">
        <f t="shared" si="52"/>
        <v>0</v>
      </c>
      <c r="M37">
        <f t="shared" si="52"/>
        <v>6.0000000000004494E-5</v>
      </c>
      <c r="N37">
        <f t="shared" si="52"/>
        <v>-9.9999999999544897E-6</v>
      </c>
      <c r="O37">
        <f t="shared" si="52"/>
        <v>1.0000000000010001E-5</v>
      </c>
      <c r="Q37" s="120">
        <f t="shared" si="10"/>
        <v>-6.0000000000004494E-5</v>
      </c>
      <c r="R37" s="60">
        <f t="shared" si="11"/>
        <v>6.0000000000004494E-5</v>
      </c>
      <c r="S37" s="121">
        <f t="shared" si="12"/>
        <v>1.2000000000000899E-4</v>
      </c>
    </row>
    <row r="38" spans="1:19" x14ac:dyDescent="0.2">
      <c r="A38" s="32" t="s">
        <v>279</v>
      </c>
      <c r="B38">
        <f t="shared" ref="B38" si="53">B13-$P$13</f>
        <v>3.9999999999984492E-5</v>
      </c>
      <c r="C38">
        <f t="shared" ref="C38:D38" si="54">C13-$P$13</f>
        <v>9.9999999999988987E-5</v>
      </c>
      <c r="D38">
        <f t="shared" si="54"/>
        <v>2.9999999999974492E-5</v>
      </c>
      <c r="E38">
        <f t="shared" ref="E38:F38" si="55">E13-$P$13</f>
        <v>2.9999999999974492E-5</v>
      </c>
      <c r="F38">
        <f t="shared" si="55"/>
        <v>7.0000000000014495E-5</v>
      </c>
      <c r="G38">
        <f t="shared" ref="G38:H38" si="56">G13-$P$13</f>
        <v>1.0000000000010001E-5</v>
      </c>
      <c r="H38">
        <f t="shared" si="56"/>
        <v>-1.0000000000010001E-5</v>
      </c>
      <c r="I38">
        <f t="shared" ref="I38:O38" si="57">I13-$P$13</f>
        <v>0</v>
      </c>
      <c r="J38">
        <f t="shared" si="57"/>
        <v>0</v>
      </c>
      <c r="K38">
        <f t="shared" si="57"/>
        <v>2.0000000000020002E-5</v>
      </c>
      <c r="L38">
        <f t="shared" si="57"/>
        <v>2.0000000000020002E-5</v>
      </c>
      <c r="M38">
        <f t="shared" si="57"/>
        <v>2.0000000000020002E-5</v>
      </c>
      <c r="N38">
        <f t="shared" si="57"/>
        <v>3.9999999999984492E-5</v>
      </c>
      <c r="O38">
        <f t="shared" si="57"/>
        <v>3.9999999999984492E-5</v>
      </c>
      <c r="Q38" s="120">
        <f t="shared" si="10"/>
        <v>-1.0000000000010001E-5</v>
      </c>
      <c r="R38" s="60">
        <f t="shared" si="11"/>
        <v>7.0000000000014495E-5</v>
      </c>
      <c r="S38" s="121">
        <f t="shared" si="12"/>
        <v>8.0000000000024496E-5</v>
      </c>
    </row>
    <row r="39" spans="1:19" x14ac:dyDescent="0.2">
      <c r="A39" s="32" t="s">
        <v>280</v>
      </c>
      <c r="B39">
        <f t="shared" ref="B39" si="58">B14-$P$14</f>
        <v>6.0000000000004494E-5</v>
      </c>
      <c r="C39">
        <f t="shared" ref="C39:D39" si="59">C14-$P$14</f>
        <v>4.0000000000012248E-5</v>
      </c>
      <c r="D39">
        <f t="shared" si="59"/>
        <v>5.0000000000022249E-5</v>
      </c>
      <c r="E39">
        <f t="shared" ref="E39:F39" si="60">E14-$P$14</f>
        <v>5.0000000000022249E-5</v>
      </c>
      <c r="F39">
        <f t="shared" si="60"/>
        <v>6.0000000000004494E-5</v>
      </c>
      <c r="G39">
        <f t="shared" ref="G39:H39" si="61">G14-$P$14</f>
        <v>5.0000000000022249E-5</v>
      </c>
      <c r="H39">
        <f t="shared" si="61"/>
        <v>5.0000000000022249E-5</v>
      </c>
      <c r="I39">
        <f t="shared" ref="I39:O39" si="62">I14-$P$14</f>
        <v>8.0000000000024496E-5</v>
      </c>
      <c r="J39">
        <f t="shared" si="62"/>
        <v>5.0000000000022249E-5</v>
      </c>
      <c r="K39">
        <f t="shared" si="62"/>
        <v>2.0000000000020002E-5</v>
      </c>
      <c r="L39">
        <f t="shared" si="62"/>
        <v>2.0000000000020002E-5</v>
      </c>
      <c r="M39">
        <f t="shared" si="62"/>
        <v>0</v>
      </c>
      <c r="N39">
        <f t="shared" si="62"/>
        <v>3.0000000000002247E-5</v>
      </c>
      <c r="O39">
        <f t="shared" si="62"/>
        <v>1.0000000000010001E-5</v>
      </c>
      <c r="Q39" s="120">
        <f t="shared" si="10"/>
        <v>0</v>
      </c>
      <c r="R39" s="60">
        <f t="shared" si="11"/>
        <v>8.0000000000024496E-5</v>
      </c>
      <c r="S39" s="121">
        <f t="shared" si="12"/>
        <v>8.0000000000024496E-5</v>
      </c>
    </row>
    <row r="40" spans="1:19" x14ac:dyDescent="0.2">
      <c r="A40" s="32" t="s">
        <v>282</v>
      </c>
      <c r="B40">
        <f t="shared" ref="B40" si="63">B15-$P$15</f>
        <v>4.9999999999994493E-5</v>
      </c>
      <c r="C40">
        <f t="shared" ref="C40:D40" si="64">C15-$P$15</f>
        <v>8.9999999999978986E-5</v>
      </c>
      <c r="D40">
        <f t="shared" si="64"/>
        <v>4.9999999999994493E-5</v>
      </c>
      <c r="E40">
        <f t="shared" ref="E40:F40" si="65">E15-$P$15</f>
        <v>4.9999999999994493E-5</v>
      </c>
      <c r="F40">
        <f t="shared" si="65"/>
        <v>-3.0000000000002247E-5</v>
      </c>
      <c r="G40">
        <f t="shared" ref="G40:H40" si="66">G15-$P$15</f>
        <v>2.9999999999974492E-5</v>
      </c>
      <c r="H40">
        <f t="shared" si="66"/>
        <v>3.9999999999984492E-5</v>
      </c>
      <c r="I40">
        <f t="shared" ref="I40:O40" si="67">I15-$P$15</f>
        <v>1.9999999999992246E-5</v>
      </c>
      <c r="J40">
        <f t="shared" si="67"/>
        <v>-5.0000000000022249E-5</v>
      </c>
      <c r="K40">
        <f t="shared" si="67"/>
        <v>2.9999999999974492E-5</v>
      </c>
      <c r="L40">
        <f t="shared" si="67"/>
        <v>3.9999999999984492E-5</v>
      </c>
      <c r="M40">
        <f t="shared" si="67"/>
        <v>4.9999999999994493E-5</v>
      </c>
      <c r="N40">
        <f t="shared" si="67"/>
        <v>0</v>
      </c>
      <c r="O40">
        <f t="shared" si="67"/>
        <v>4.9999999999994493E-5</v>
      </c>
      <c r="Q40" s="120">
        <f t="shared" si="10"/>
        <v>-5.0000000000022249E-5</v>
      </c>
      <c r="R40" s="60">
        <f t="shared" si="11"/>
        <v>4.9999999999994493E-5</v>
      </c>
      <c r="S40" s="121">
        <f t="shared" si="12"/>
        <v>1.0000000000001674E-4</v>
      </c>
    </row>
    <row r="41" spans="1:19" x14ac:dyDescent="0.2">
      <c r="A41" s="32" t="s">
        <v>283</v>
      </c>
      <c r="B41">
        <f t="shared" ref="B41" si="68">B16-$P$16</f>
        <v>-1.7000000000000348E-4</v>
      </c>
      <c r="C41">
        <f t="shared" ref="C41:D41" si="69">C16-$P$16</f>
        <v>-9.0000000000006741E-5</v>
      </c>
      <c r="D41">
        <f t="shared" si="69"/>
        <v>-1.0999999999999899E-4</v>
      </c>
      <c r="E41">
        <f t="shared" ref="E41:F41" si="70">E16-$P$16</f>
        <v>-1.2999999999999123E-4</v>
      </c>
      <c r="F41">
        <f t="shared" si="70"/>
        <v>-1.2999999999999123E-4</v>
      </c>
      <c r="G41">
        <f t="shared" ref="G41:H41" si="71">G16-$P$16</f>
        <v>-1.5999999999999348E-4</v>
      </c>
      <c r="H41">
        <f t="shared" si="71"/>
        <v>-1.7999999999998573E-4</v>
      </c>
      <c r="I41">
        <f t="shared" ref="I41:O41" si="72">I16-$P$16</f>
        <v>-1.4000000000000123E-4</v>
      </c>
      <c r="J41">
        <f t="shared" si="72"/>
        <v>-3.9999999999984492E-5</v>
      </c>
      <c r="K41">
        <f t="shared" si="72"/>
        <v>-4.9999999999994493E-5</v>
      </c>
      <c r="L41">
        <f t="shared" si="72"/>
        <v>-9.9999999999822453E-6</v>
      </c>
      <c r="M41">
        <f t="shared" si="72"/>
        <v>0</v>
      </c>
      <c r="N41">
        <f t="shared" si="72"/>
        <v>1.9999999999992246E-5</v>
      </c>
      <c r="O41">
        <f t="shared" si="72"/>
        <v>-9.9999999999822453E-6</v>
      </c>
      <c r="Q41" s="120">
        <f t="shared" si="10"/>
        <v>-1.7999999999998573E-4</v>
      </c>
      <c r="R41" s="60">
        <f t="shared" si="11"/>
        <v>1.9999999999992246E-5</v>
      </c>
      <c r="S41" s="121">
        <f t="shared" si="12"/>
        <v>1.9999999999997797E-4</v>
      </c>
    </row>
    <row r="42" spans="1:19" x14ac:dyDescent="0.2">
      <c r="A42" s="32" t="s">
        <v>284</v>
      </c>
      <c r="B42">
        <f t="shared" ref="B42" si="73">B17-$P$17</f>
        <v>4.9999999999994493E-5</v>
      </c>
      <c r="C42">
        <f t="shared" ref="C42:D42" si="74">C17-$P$17</f>
        <v>9.0000000000006741E-5</v>
      </c>
      <c r="D42">
        <f t="shared" si="74"/>
        <v>1.0000000000010001E-5</v>
      </c>
      <c r="E42">
        <f t="shared" ref="E42:F42" si="75">E17-$P$17</f>
        <v>1.0000000000010001E-5</v>
      </c>
      <c r="F42">
        <f t="shared" si="75"/>
        <v>-1.9999999999992246E-5</v>
      </c>
      <c r="G42">
        <f t="shared" ref="G42:H42" si="76">G17-$P$17</f>
        <v>-1.0000000000010001E-5</v>
      </c>
      <c r="H42">
        <f t="shared" si="76"/>
        <v>-1.9999999999992246E-5</v>
      </c>
      <c r="I42">
        <f t="shared" ref="I42:O42" si="77">I17-$P$17</f>
        <v>0</v>
      </c>
      <c r="J42">
        <f t="shared" si="77"/>
        <v>-4.9999999999994493E-5</v>
      </c>
      <c r="K42">
        <f t="shared" si="77"/>
        <v>1.9999999999992246E-5</v>
      </c>
      <c r="L42">
        <f t="shared" si="77"/>
        <v>3.0000000000002247E-5</v>
      </c>
      <c r="M42">
        <f t="shared" si="77"/>
        <v>4.0000000000012248E-5</v>
      </c>
      <c r="N42">
        <f t="shared" si="77"/>
        <v>4.0000000000012248E-5</v>
      </c>
      <c r="O42">
        <f t="shared" si="77"/>
        <v>1.0000000000010001E-5</v>
      </c>
      <c r="Q42" s="120">
        <f t="shared" si="10"/>
        <v>-4.9999999999994493E-5</v>
      </c>
      <c r="R42" s="60">
        <f t="shared" si="11"/>
        <v>4.0000000000012248E-5</v>
      </c>
      <c r="S42" s="121">
        <f t="shared" si="12"/>
        <v>9.0000000000006741E-5</v>
      </c>
    </row>
    <row r="43" spans="1:19" x14ac:dyDescent="0.2">
      <c r="A43" s="32" t="s">
        <v>285</v>
      </c>
      <c r="B43">
        <f t="shared" ref="B43" si="78">B18-$P$18</f>
        <v>4.0000000000012248E-5</v>
      </c>
      <c r="C43">
        <f t="shared" ref="C43:D43" si="79">C18-$P$18</f>
        <v>1.2000000000000899E-4</v>
      </c>
      <c r="D43">
        <f t="shared" si="79"/>
        <v>1.0000000000001674E-4</v>
      </c>
      <c r="E43">
        <f t="shared" ref="E43:F43" si="80">E18-$P$18</f>
        <v>8.0000000000024496E-5</v>
      </c>
      <c r="F43">
        <f t="shared" si="80"/>
        <v>7.0000000000014495E-5</v>
      </c>
      <c r="G43">
        <f t="shared" ref="G43:H43" si="81">G18-$P$18</f>
        <v>9.0000000000006741E-5</v>
      </c>
      <c r="H43">
        <f t="shared" si="81"/>
        <v>4.0000000000012248E-5</v>
      </c>
      <c r="I43">
        <f t="shared" ref="I43:O43" si="82">I18-$P$18</f>
        <v>6.0000000000004494E-5</v>
      </c>
      <c r="J43">
        <f t="shared" si="82"/>
        <v>1.0000000000001674E-4</v>
      </c>
      <c r="K43">
        <f t="shared" si="82"/>
        <v>1.0000000000010001E-5</v>
      </c>
      <c r="L43">
        <f t="shared" si="82"/>
        <v>4.0000000000012248E-5</v>
      </c>
      <c r="M43">
        <f t="shared" si="82"/>
        <v>6.0000000000004494E-5</v>
      </c>
      <c r="N43">
        <f t="shared" si="82"/>
        <v>2.0000000000020002E-5</v>
      </c>
      <c r="O43">
        <f t="shared" si="82"/>
        <v>1.0999999999999899E-4</v>
      </c>
      <c r="Q43" s="120">
        <f t="shared" si="10"/>
        <v>1.0000000000010001E-5</v>
      </c>
      <c r="R43" s="60">
        <f t="shared" si="11"/>
        <v>1.0999999999999899E-4</v>
      </c>
      <c r="S43" s="121">
        <f t="shared" si="12"/>
        <v>9.9999999999988987E-5</v>
      </c>
    </row>
    <row r="44" spans="1:19" x14ac:dyDescent="0.2">
      <c r="A44" s="32" t="s">
        <v>286</v>
      </c>
      <c r="B44">
        <f t="shared" ref="B44" si="83">B19-$P$19</f>
        <v>-6.9999999999986739E-5</v>
      </c>
      <c r="C44">
        <f t="shared" ref="C44:D44" si="84">C19-$P$19</f>
        <v>-1.9999999999992246E-5</v>
      </c>
      <c r="D44">
        <f t="shared" si="84"/>
        <v>-3.0000000000002247E-5</v>
      </c>
      <c r="E44">
        <f t="shared" ref="E44:F44" si="85">E19-$P$19</f>
        <v>-6.9999999999986739E-5</v>
      </c>
      <c r="F44">
        <f t="shared" si="85"/>
        <v>-4.9999999999994493E-5</v>
      </c>
      <c r="G44">
        <f t="shared" ref="G44:H44" si="86">G19-$P$19</f>
        <v>-8.9999999999978986E-5</v>
      </c>
      <c r="H44">
        <f t="shared" si="86"/>
        <v>-7.999999999999674E-5</v>
      </c>
      <c r="I44">
        <f t="shared" ref="I44:O44" si="87">I19-$P$19</f>
        <v>-9.9999999999988987E-5</v>
      </c>
      <c r="J44">
        <f t="shared" si="87"/>
        <v>-1.2999999999999123E-4</v>
      </c>
      <c r="K44">
        <f t="shared" si="87"/>
        <v>-9.9999999999822453E-6</v>
      </c>
      <c r="L44">
        <f t="shared" si="87"/>
        <v>1.0000000000010001E-5</v>
      </c>
      <c r="M44">
        <f t="shared" si="87"/>
        <v>0</v>
      </c>
      <c r="N44">
        <f t="shared" si="87"/>
        <v>4.9999999999994493E-5</v>
      </c>
      <c r="O44">
        <f t="shared" si="87"/>
        <v>-1.9999999999992246E-5</v>
      </c>
      <c r="Q44" s="120">
        <f t="shared" si="10"/>
        <v>-1.2999999999999123E-4</v>
      </c>
      <c r="R44" s="60">
        <f t="shared" si="11"/>
        <v>4.9999999999994493E-5</v>
      </c>
      <c r="S44" s="121">
        <f t="shared" si="12"/>
        <v>1.7999999999998573E-4</v>
      </c>
    </row>
    <row r="45" spans="1:19" x14ac:dyDescent="0.2">
      <c r="A45" s="32" t="s">
        <v>287</v>
      </c>
      <c r="B45">
        <f t="shared" ref="B45" si="88">B20-$P$20</f>
        <v>-1.3000000000001899E-4</v>
      </c>
      <c r="C45">
        <f t="shared" ref="C45:D45" si="89">C20-$P$20</f>
        <v>-9.0000000000006741E-5</v>
      </c>
      <c r="D45">
        <f t="shared" si="89"/>
        <v>-9.0000000000006741E-5</v>
      </c>
      <c r="E45">
        <f t="shared" ref="E45:F45" si="90">E20-$P$20</f>
        <v>-7.999999999999674E-5</v>
      </c>
      <c r="F45">
        <f t="shared" si="90"/>
        <v>-1.4000000000000123E-4</v>
      </c>
      <c r="G45">
        <f t="shared" ref="G45:H45" si="91">G20-$P$20</f>
        <v>-1.0999999999999899E-4</v>
      </c>
      <c r="H45">
        <f t="shared" si="91"/>
        <v>-1.2000000000000899E-4</v>
      </c>
      <c r="I45">
        <f t="shared" ref="I45:O45" si="92">I20-$P$20</f>
        <v>-7.0000000000014495E-5</v>
      </c>
      <c r="J45">
        <f t="shared" si="92"/>
        <v>-7.999999999999674E-5</v>
      </c>
      <c r="K45">
        <f t="shared" si="92"/>
        <v>-1.2000000000000899E-4</v>
      </c>
      <c r="L45">
        <f t="shared" si="92"/>
        <v>-6.0000000000004494E-5</v>
      </c>
      <c r="M45">
        <f t="shared" si="92"/>
        <v>0</v>
      </c>
      <c r="N45">
        <f t="shared" si="92"/>
        <v>-4.0000000000012248E-5</v>
      </c>
      <c r="O45">
        <f t="shared" si="92"/>
        <v>-2.0000000000020002E-5</v>
      </c>
      <c r="Q45" s="120">
        <f t="shared" si="10"/>
        <v>-1.4000000000000123E-4</v>
      </c>
      <c r="R45" s="60">
        <f t="shared" si="11"/>
        <v>0</v>
      </c>
      <c r="S45" s="121">
        <f t="shared" si="12"/>
        <v>1.4000000000000123E-4</v>
      </c>
    </row>
    <row r="46" spans="1:19" x14ac:dyDescent="0.2">
      <c r="A46" s="32" t="s">
        <v>288</v>
      </c>
      <c r="B46">
        <f t="shared" ref="B46" si="93">B21-$P$21</f>
        <v>-4.9999999999994493E-5</v>
      </c>
      <c r="C46">
        <f t="shared" ref="C46:D46" si="94">C21-$P$21</f>
        <v>1.3000000000001899E-4</v>
      </c>
      <c r="D46">
        <f t="shared" si="94"/>
        <v>3.0000000000002247E-5</v>
      </c>
      <c r="E46">
        <f t="shared" ref="E46:F46" si="95">E21-$P$21</f>
        <v>-3.9999999999984492E-5</v>
      </c>
      <c r="F46">
        <f t="shared" si="95"/>
        <v>-3.9999999999984492E-5</v>
      </c>
      <c r="G46">
        <f t="shared" ref="G46:H46" si="96">G21-$P$21</f>
        <v>-1.9999999999992246E-5</v>
      </c>
      <c r="H46">
        <f t="shared" si="96"/>
        <v>-1.9999999999992246E-5</v>
      </c>
      <c r="I46">
        <f t="shared" ref="I46:O46" si="97">I21-$P$21</f>
        <v>-9.9999999999822453E-6</v>
      </c>
      <c r="J46">
        <f t="shared" si="97"/>
        <v>1.0000000000010001E-5</v>
      </c>
      <c r="K46">
        <f t="shared" si="97"/>
        <v>1.9999999999992246E-5</v>
      </c>
      <c r="L46">
        <f t="shared" si="97"/>
        <v>1.9999999999992246E-5</v>
      </c>
      <c r="M46">
        <f t="shared" si="97"/>
        <v>-9.9999999999822453E-6</v>
      </c>
      <c r="N46">
        <f t="shared" si="97"/>
        <v>6.0000000000004494E-5</v>
      </c>
      <c r="O46">
        <f t="shared" si="97"/>
        <v>-3.9999999999984492E-5</v>
      </c>
      <c r="Q46" s="120">
        <f t="shared" si="10"/>
        <v>-3.9999999999984492E-5</v>
      </c>
      <c r="R46" s="60">
        <f t="shared" si="11"/>
        <v>6.0000000000004494E-5</v>
      </c>
      <c r="S46" s="121">
        <f t="shared" si="12"/>
        <v>9.9999999999988987E-5</v>
      </c>
    </row>
    <row r="47" spans="1:19" ht="15.75" thickBot="1" x14ac:dyDescent="0.25">
      <c r="A47" s="32" t="s">
        <v>289</v>
      </c>
      <c r="B47">
        <f t="shared" ref="B47" si="98">B22-$P$22</f>
        <v>9.9999999999822453E-6</v>
      </c>
      <c r="C47">
        <f t="shared" ref="C47:D47" si="99">C22-$P$22</f>
        <v>9.9999999999988987E-5</v>
      </c>
      <c r="D47">
        <f t="shared" si="99"/>
        <v>1.9999999999992246E-5</v>
      </c>
      <c r="E47">
        <f t="shared" ref="E47:F47" si="100">E22-$P$22</f>
        <v>0</v>
      </c>
      <c r="F47">
        <f t="shared" si="100"/>
        <v>-2.0000000000020002E-5</v>
      </c>
      <c r="G47">
        <f t="shared" ref="G47:H47" si="101">G22-$P$22</f>
        <v>-8.0000000000024496E-5</v>
      </c>
      <c r="H47">
        <f t="shared" si="101"/>
        <v>-3.0000000000002247E-5</v>
      </c>
      <c r="I47">
        <f t="shared" ref="I47:O47" si="102">I22-$P$22</f>
        <v>-5.0000000000022249E-5</v>
      </c>
      <c r="J47">
        <f t="shared" si="102"/>
        <v>-7.0000000000014495E-5</v>
      </c>
      <c r="K47">
        <f t="shared" si="102"/>
        <v>-3.0000000000002247E-5</v>
      </c>
      <c r="L47">
        <f t="shared" si="102"/>
        <v>3.0000000000002247E-5</v>
      </c>
      <c r="M47">
        <f t="shared" si="102"/>
        <v>5.9999999999976739E-5</v>
      </c>
      <c r="N47">
        <f t="shared" si="102"/>
        <v>6.9999999999986739E-5</v>
      </c>
      <c r="O47">
        <f t="shared" si="102"/>
        <v>9.9999999999988987E-5</v>
      </c>
      <c r="Q47" s="122">
        <f t="shared" si="10"/>
        <v>-8.0000000000024496E-5</v>
      </c>
      <c r="R47" s="123">
        <f t="shared" si="11"/>
        <v>9.9999999999988987E-5</v>
      </c>
      <c r="S47" s="124">
        <f t="shared" si="12"/>
        <v>1.8000000000001348E-4</v>
      </c>
    </row>
    <row r="48" spans="1:19" x14ac:dyDescent="0.2">
      <c r="A48" s="32"/>
      <c r="B48" s="32"/>
      <c r="C48" s="32"/>
      <c r="D48" s="32"/>
      <c r="E48" s="32"/>
      <c r="F48" s="32"/>
      <c r="G48" s="32"/>
      <c r="H48" s="32"/>
    </row>
    <row r="49" spans="1:19" ht="15.75" x14ac:dyDescent="0.25">
      <c r="A49" s="32" t="s">
        <v>343</v>
      </c>
      <c r="B49" s="32"/>
      <c r="C49" s="32"/>
      <c r="D49" s="32"/>
      <c r="E49" s="32"/>
      <c r="F49" s="32"/>
      <c r="G49" s="32"/>
      <c r="H49" s="32"/>
    </row>
    <row r="50" spans="1:19" ht="15.75" thickBot="1" x14ac:dyDescent="0.25">
      <c r="A50" s="32" t="s">
        <v>322</v>
      </c>
      <c r="B50" s="32"/>
      <c r="C50" s="32"/>
      <c r="D50" s="32"/>
      <c r="E50" s="32"/>
      <c r="F50" s="32"/>
      <c r="G50" s="32"/>
      <c r="H50" s="32"/>
      <c r="R50" s="32"/>
    </row>
    <row r="51" spans="1:19" ht="16.5" thickBot="1" x14ac:dyDescent="0.25">
      <c r="A51" t="s">
        <v>269</v>
      </c>
      <c r="B51" s="116" t="s">
        <v>422</v>
      </c>
      <c r="C51" s="116" t="s">
        <v>422</v>
      </c>
      <c r="D51" s="116" t="s">
        <v>416</v>
      </c>
      <c r="E51" s="116" t="s">
        <v>413</v>
      </c>
      <c r="F51" s="116" t="s">
        <v>407</v>
      </c>
      <c r="G51" s="116" t="s">
        <v>401</v>
      </c>
      <c r="H51" s="116" t="s">
        <v>393</v>
      </c>
      <c r="I51" s="116" t="s">
        <v>321</v>
      </c>
      <c r="J51" s="116" t="s">
        <v>324</v>
      </c>
      <c r="K51" s="116" t="s">
        <v>325</v>
      </c>
      <c r="L51" s="116" t="s">
        <v>326</v>
      </c>
      <c r="M51" s="116" t="s">
        <v>327</v>
      </c>
      <c r="N51" s="116" t="s">
        <v>328</v>
      </c>
      <c r="O51" s="116" t="s">
        <v>329</v>
      </c>
      <c r="P51" s="116" t="s">
        <v>313</v>
      </c>
      <c r="Q51" s="117" t="s">
        <v>353</v>
      </c>
      <c r="R51" s="118" t="s">
        <v>354</v>
      </c>
      <c r="S51" s="119" t="s">
        <v>355</v>
      </c>
    </row>
    <row r="52" spans="1:19" x14ac:dyDescent="0.2">
      <c r="A52" s="32" t="s">
        <v>270</v>
      </c>
      <c r="B52">
        <f t="shared" ref="B52:G52" si="103">B3-$AG$3</f>
        <v>3.0000000000002247E-5</v>
      </c>
      <c r="C52">
        <f t="shared" si="103"/>
        <v>1.2000000000000899E-4</v>
      </c>
      <c r="D52">
        <f t="shared" si="103"/>
        <v>1.0000000000000286E-4</v>
      </c>
      <c r="E52">
        <f t="shared" si="103"/>
        <v>-1.9999999999992246E-5</v>
      </c>
      <c r="F52">
        <f t="shared" si="103"/>
        <v>-3.999999999999837E-5</v>
      </c>
      <c r="G52">
        <f t="shared" si="103"/>
        <v>4.0000000000012248E-5</v>
      </c>
      <c r="H52">
        <f t="shared" ref="H52" si="104">H3-$AG$3</f>
        <v>6.0000000000004494E-5</v>
      </c>
      <c r="I52">
        <f t="shared" ref="I52:P52" si="105">I3-$AG$3</f>
        <v>-9.9999999999961231E-6</v>
      </c>
      <c r="J52">
        <f t="shared" si="105"/>
        <v>-1.0999999999999899E-4</v>
      </c>
      <c r="K52">
        <f t="shared" si="105"/>
        <v>-1.9999999999992246E-5</v>
      </c>
      <c r="L52">
        <f t="shared" si="105"/>
        <v>8.0000000000010618E-5</v>
      </c>
      <c r="M52">
        <f t="shared" si="105"/>
        <v>1.0000000000010001E-5</v>
      </c>
      <c r="N52">
        <f t="shared" si="105"/>
        <v>-7.999999999999674E-5</v>
      </c>
      <c r="O52">
        <f t="shared" si="105"/>
        <v>0</v>
      </c>
      <c r="P52">
        <f t="shared" si="105"/>
        <v>3.0000000000002247E-5</v>
      </c>
      <c r="Q52" s="134">
        <f>MIN(D52:P52)</f>
        <v>-1.0999999999999899E-4</v>
      </c>
      <c r="R52" s="135">
        <f>MAX(D52:P52)</f>
        <v>1.0000000000000286E-4</v>
      </c>
      <c r="S52" s="136">
        <f>R52-Q52</f>
        <v>2.1000000000000185E-4</v>
      </c>
    </row>
    <row r="53" spans="1:19" x14ac:dyDescent="0.2">
      <c r="A53" s="32" t="s">
        <v>271</v>
      </c>
      <c r="B53">
        <f>B4-$AG$4</f>
        <v>1.9999999999992246E-5</v>
      </c>
      <c r="C53">
        <f t="shared" ref="C53" si="106">C4-$AG$4</f>
        <v>-3.9999999999984492E-5</v>
      </c>
      <c r="D53">
        <f t="shared" ref="D53:E53" si="107">D4-$AG$4</f>
        <v>1.0000000000010001E-5</v>
      </c>
      <c r="E53">
        <f t="shared" si="107"/>
        <v>1.9999999999992246E-5</v>
      </c>
      <c r="F53">
        <f t="shared" ref="F53:G53" si="108">F4-$AG$4</f>
        <v>7.0000000000014495E-5</v>
      </c>
      <c r="G53">
        <f t="shared" si="108"/>
        <v>4.0000000000012248E-5</v>
      </c>
      <c r="H53">
        <f t="shared" ref="H53" si="109">H4-$AG$4</f>
        <v>4.0000000000012248E-5</v>
      </c>
      <c r="I53">
        <f t="shared" ref="I53:P53" si="110">I4-$AG$4</f>
        <v>3.0000000000002247E-5</v>
      </c>
      <c r="J53">
        <f t="shared" si="110"/>
        <v>6.0000000000004494E-5</v>
      </c>
      <c r="K53">
        <f t="shared" si="110"/>
        <v>4.9999999999994493E-5</v>
      </c>
      <c r="L53">
        <f t="shared" si="110"/>
        <v>1.0000000000010001E-5</v>
      </c>
      <c r="M53">
        <f t="shared" si="110"/>
        <v>1.9999999999992246E-5</v>
      </c>
      <c r="N53">
        <f t="shared" si="110"/>
        <v>3.0000000000002247E-5</v>
      </c>
      <c r="O53">
        <f t="shared" si="110"/>
        <v>7.0000000000014495E-5</v>
      </c>
      <c r="P53">
        <f t="shared" si="110"/>
        <v>0</v>
      </c>
      <c r="Q53" s="120">
        <f t="shared" ref="Q53:Q71" si="111">MIN(D53:P53)</f>
        <v>0</v>
      </c>
      <c r="R53" s="60">
        <f t="shared" ref="R53:R71" si="112">MAX(D53:P53)</f>
        <v>7.0000000000014495E-5</v>
      </c>
      <c r="S53" s="121">
        <f t="shared" ref="S53:S71" si="113">R53-Q53</f>
        <v>7.0000000000014495E-5</v>
      </c>
    </row>
    <row r="54" spans="1:19" x14ac:dyDescent="0.2">
      <c r="A54" s="32" t="s">
        <v>272</v>
      </c>
      <c r="B54">
        <f t="shared" ref="B54:C54" si="114">B5-$AG$5</f>
        <v>3.1000000000000472E-4</v>
      </c>
      <c r="C54">
        <f t="shared" si="114"/>
        <v>2.8000000000000247E-4</v>
      </c>
      <c r="D54">
        <f t="shared" ref="D54:E54" si="115">D5-$AG$5</f>
        <v>3.1000000000000472E-4</v>
      </c>
      <c r="E54">
        <f t="shared" si="115"/>
        <v>2.9999999999999472E-4</v>
      </c>
      <c r="F54">
        <f t="shared" ref="F54:G54" si="116">F5-$AG$5</f>
        <v>2.0000000000000573E-4</v>
      </c>
      <c r="G54">
        <f t="shared" si="116"/>
        <v>2.6999999999999247E-4</v>
      </c>
      <c r="H54">
        <f t="shared" ref="H54" si="117">H5-$AG$5</f>
        <v>2.9000000000001247E-4</v>
      </c>
      <c r="I54">
        <f t="shared" ref="I54:P54" si="118">I5-$AG$5</f>
        <v>2.9999999999999472E-4</v>
      </c>
      <c r="J54">
        <f t="shared" si="118"/>
        <v>2.9999999999999472E-4</v>
      </c>
      <c r="K54">
        <f t="shared" si="118"/>
        <v>3.1000000000000472E-4</v>
      </c>
      <c r="L54">
        <f t="shared" si="118"/>
        <v>2.6000000000001022E-4</v>
      </c>
      <c r="M54">
        <f t="shared" si="118"/>
        <v>2.8000000000000247E-4</v>
      </c>
      <c r="N54">
        <f t="shared" si="118"/>
        <v>3.2999999999999696E-4</v>
      </c>
      <c r="O54">
        <f t="shared" si="118"/>
        <v>3.4000000000000696E-4</v>
      </c>
      <c r="P54">
        <f t="shared" si="118"/>
        <v>3.4000000000000696E-4</v>
      </c>
      <c r="Q54" s="120">
        <f t="shared" si="111"/>
        <v>2.0000000000000573E-4</v>
      </c>
      <c r="R54" s="60">
        <f t="shared" si="112"/>
        <v>3.4000000000000696E-4</v>
      </c>
      <c r="S54" s="121">
        <f t="shared" si="113"/>
        <v>1.4000000000000123E-4</v>
      </c>
    </row>
    <row r="55" spans="1:19" x14ac:dyDescent="0.2">
      <c r="A55" s="32" t="s">
        <v>273</v>
      </c>
      <c r="B55">
        <f t="shared" ref="B55:C55" si="119">B6-$AG$6</f>
        <v>-2.1999999999999797E-4</v>
      </c>
      <c r="C55">
        <f t="shared" si="119"/>
        <v>-1.7999999999998573E-4</v>
      </c>
      <c r="D55">
        <f t="shared" ref="D55:E55" si="120">D6-$AG$6</f>
        <v>-2.3999999999999022E-4</v>
      </c>
      <c r="E55">
        <f t="shared" si="120"/>
        <v>-1.8999999999999573E-4</v>
      </c>
      <c r="F55">
        <f t="shared" ref="F55:G55" si="121">F6-$AG$6</f>
        <v>-1.1999999999998123E-4</v>
      </c>
      <c r="G55">
        <f t="shared" si="121"/>
        <v>-1.8999999999999573E-4</v>
      </c>
      <c r="H55">
        <f t="shared" ref="H55" si="122">H6-$AG$6</f>
        <v>-1.8999999999999573E-4</v>
      </c>
      <c r="I55">
        <f t="shared" ref="I55:P55" si="123">I6-$AG$6</f>
        <v>-2.5000000000000022E-4</v>
      </c>
      <c r="J55">
        <f t="shared" si="123"/>
        <v>-2.0000000000000573E-4</v>
      </c>
      <c r="K55">
        <f t="shared" si="123"/>
        <v>-2.0000000000000573E-4</v>
      </c>
      <c r="L55">
        <f t="shared" si="123"/>
        <v>-1.4999999999998348E-4</v>
      </c>
      <c r="M55">
        <f t="shared" si="123"/>
        <v>-1.7000000000000348E-4</v>
      </c>
      <c r="N55">
        <f t="shared" si="123"/>
        <v>-2.1999999999999797E-4</v>
      </c>
      <c r="O55">
        <f t="shared" si="123"/>
        <v>-2.0000000000000573E-4</v>
      </c>
      <c r="P55">
        <f t="shared" si="123"/>
        <v>-1.8999999999999573E-4</v>
      </c>
      <c r="Q55" s="120">
        <f t="shared" si="111"/>
        <v>-2.5000000000000022E-4</v>
      </c>
      <c r="R55" s="60">
        <f t="shared" si="112"/>
        <v>-1.1999999999998123E-4</v>
      </c>
      <c r="S55" s="121">
        <f t="shared" si="113"/>
        <v>1.3000000000001899E-4</v>
      </c>
    </row>
    <row r="56" spans="1:19" x14ac:dyDescent="0.2">
      <c r="A56" s="32" t="s">
        <v>281</v>
      </c>
      <c r="B56">
        <f t="shared" ref="B56:C56" si="124">B7-$AG$7</f>
        <v>-7.999999999999674E-5</v>
      </c>
      <c r="C56">
        <f t="shared" si="124"/>
        <v>-1.1999999999998123E-4</v>
      </c>
      <c r="D56">
        <f t="shared" ref="D56:E56" si="125">D7-$AG$7</f>
        <v>-6.9999999999986739E-5</v>
      </c>
      <c r="E56">
        <f t="shared" si="125"/>
        <v>-9.9999999999988987E-5</v>
      </c>
      <c r="F56">
        <f t="shared" ref="F56:G56" si="126">F7-$AG$7</f>
        <v>-9.9999999999988987E-5</v>
      </c>
      <c r="G56">
        <f t="shared" si="126"/>
        <v>-6.9999999999986739E-5</v>
      </c>
      <c r="H56">
        <f t="shared" ref="H56" si="127">H7-$AG$7</f>
        <v>-1.5999999999999348E-4</v>
      </c>
      <c r="I56">
        <f t="shared" ref="I56:P56" si="128">I7-$AG$7</f>
        <v>-7.999999999999674E-5</v>
      </c>
      <c r="J56">
        <f t="shared" si="128"/>
        <v>-9.9999999999988987E-5</v>
      </c>
      <c r="K56">
        <f t="shared" si="128"/>
        <v>-9.9999999999988987E-5</v>
      </c>
      <c r="L56">
        <f t="shared" si="128"/>
        <v>-1.1999999999998123E-4</v>
      </c>
      <c r="M56">
        <f t="shared" si="128"/>
        <v>-6.9999999999986739E-5</v>
      </c>
      <c r="N56">
        <f t="shared" si="128"/>
        <v>-4.9999999999994493E-5</v>
      </c>
      <c r="O56">
        <f t="shared" si="128"/>
        <v>-7.999999999999674E-5</v>
      </c>
      <c r="P56">
        <f t="shared" si="128"/>
        <v>-1.0999999999999899E-4</v>
      </c>
      <c r="Q56" s="120">
        <f t="shared" si="111"/>
        <v>-1.5999999999999348E-4</v>
      </c>
      <c r="R56" s="60">
        <f t="shared" si="112"/>
        <v>-4.9999999999994493E-5</v>
      </c>
      <c r="S56" s="121">
        <f t="shared" si="113"/>
        <v>1.0999999999999899E-4</v>
      </c>
    </row>
    <row r="57" spans="1:19" x14ac:dyDescent="0.2">
      <c r="A57" s="32" t="s">
        <v>274</v>
      </c>
      <c r="B57">
        <f t="shared" ref="B57:C57" si="129">B8-$AG$8</f>
        <v>1.9999999999992246E-5</v>
      </c>
      <c r="C57">
        <f t="shared" si="129"/>
        <v>7.999999999999674E-5</v>
      </c>
      <c r="D57">
        <f t="shared" ref="D57:E57" si="130">D8-$AG$8</f>
        <v>0</v>
      </c>
      <c r="E57">
        <f t="shared" si="130"/>
        <v>1.9999999999992246E-5</v>
      </c>
      <c r="F57">
        <f t="shared" ref="F57:G57" si="131">F8-$AG$8</f>
        <v>-1.9999999999992246E-5</v>
      </c>
      <c r="G57">
        <f t="shared" si="131"/>
        <v>-1.9999999999992246E-5</v>
      </c>
      <c r="H57">
        <f t="shared" ref="H57" si="132">H8-$AG$8</f>
        <v>1.0000000000010001E-5</v>
      </c>
      <c r="I57">
        <f t="shared" ref="I57:P57" si="133">I8-$AG$8</f>
        <v>3.0000000000002247E-5</v>
      </c>
      <c r="J57">
        <f t="shared" si="133"/>
        <v>6.0000000000004494E-5</v>
      </c>
      <c r="K57">
        <f t="shared" si="133"/>
        <v>4.9999999999994493E-5</v>
      </c>
      <c r="L57">
        <f t="shared" si="133"/>
        <v>6.0000000000004494E-5</v>
      </c>
      <c r="M57">
        <f t="shared" si="133"/>
        <v>4.0000000000012248E-5</v>
      </c>
      <c r="N57">
        <f t="shared" si="133"/>
        <v>4.0000000000012248E-5</v>
      </c>
      <c r="O57">
        <f t="shared" si="133"/>
        <v>3.0000000000002247E-5</v>
      </c>
      <c r="P57">
        <f t="shared" si="133"/>
        <v>-3.0000000000002247E-5</v>
      </c>
      <c r="Q57" s="120">
        <f t="shared" si="111"/>
        <v>-3.0000000000002247E-5</v>
      </c>
      <c r="R57" s="60">
        <f t="shared" si="112"/>
        <v>6.0000000000004494E-5</v>
      </c>
      <c r="S57" s="121">
        <f t="shared" si="113"/>
        <v>9.0000000000006741E-5</v>
      </c>
    </row>
    <row r="58" spans="1:19" x14ac:dyDescent="0.2">
      <c r="A58" s="32" t="s">
        <v>275</v>
      </c>
      <c r="B58">
        <f t="shared" ref="B58:C58" si="134">B9-$AG$9</f>
        <v>-1.0000000000010001E-5</v>
      </c>
      <c r="C58">
        <f t="shared" si="134"/>
        <v>7.999999999999674E-5</v>
      </c>
      <c r="D58">
        <f t="shared" ref="D58:E58" si="135">D9-$AG$9</f>
        <v>3.0000000000002247E-5</v>
      </c>
      <c r="E58">
        <f t="shared" si="135"/>
        <v>3.0000000000002247E-5</v>
      </c>
      <c r="F58">
        <f t="shared" ref="F58:G58" si="136">F9-$AG$9</f>
        <v>0</v>
      </c>
      <c r="G58">
        <f t="shared" si="136"/>
        <v>4.9999999999994493E-5</v>
      </c>
      <c r="H58">
        <f t="shared" ref="H58" si="137">H9-$AG$9</f>
        <v>1.9999999999992246E-5</v>
      </c>
      <c r="I58">
        <f t="shared" ref="I58:P58" si="138">I9-$AG$9</f>
        <v>3.0000000000002247E-5</v>
      </c>
      <c r="J58">
        <f t="shared" si="138"/>
        <v>-4.0000000000012248E-5</v>
      </c>
      <c r="K58">
        <f t="shared" si="138"/>
        <v>0</v>
      </c>
      <c r="L58">
        <f t="shared" si="138"/>
        <v>3.9999999999984492E-5</v>
      </c>
      <c r="M58">
        <f t="shared" si="138"/>
        <v>1.9999999999992246E-5</v>
      </c>
      <c r="N58">
        <f t="shared" si="138"/>
        <v>6.9999999999986739E-5</v>
      </c>
      <c r="O58">
        <f t="shared" si="138"/>
        <v>-3.0000000000002247E-5</v>
      </c>
      <c r="P58">
        <f t="shared" si="138"/>
        <v>6.0000000000004494E-5</v>
      </c>
      <c r="Q58" s="120">
        <f t="shared" si="111"/>
        <v>-4.0000000000012248E-5</v>
      </c>
      <c r="R58" s="60">
        <f t="shared" si="112"/>
        <v>6.9999999999986739E-5</v>
      </c>
      <c r="S58" s="121">
        <f t="shared" si="113"/>
        <v>1.0999999999999899E-4</v>
      </c>
    </row>
    <row r="59" spans="1:19" x14ac:dyDescent="0.2">
      <c r="A59" s="32" t="s">
        <v>276</v>
      </c>
      <c r="B59">
        <f t="shared" ref="B59:C59" si="139">B10-$AG$10</f>
        <v>1.0000000000010001E-5</v>
      </c>
      <c r="C59">
        <f t="shared" si="139"/>
        <v>1.0000000000010001E-5</v>
      </c>
      <c r="D59">
        <f t="shared" ref="D59:E59" si="140">D10-$AG$10</f>
        <v>3.0000000000002247E-5</v>
      </c>
      <c r="E59">
        <f t="shared" si="140"/>
        <v>-1.9999999999992246E-5</v>
      </c>
      <c r="F59">
        <f t="shared" ref="F59:G59" si="141">F10-$AG$10</f>
        <v>-6.9999999999986739E-5</v>
      </c>
      <c r="G59">
        <f t="shared" si="141"/>
        <v>0</v>
      </c>
      <c r="H59">
        <f t="shared" ref="H59" si="142">H10-$AG$10</f>
        <v>-3.0000000000002247E-5</v>
      </c>
      <c r="I59">
        <f t="shared" ref="I59:P59" si="143">I10-$AG$10</f>
        <v>-1.9999999999992246E-5</v>
      </c>
      <c r="J59">
        <f t="shared" si="143"/>
        <v>3.0000000000002247E-5</v>
      </c>
      <c r="K59">
        <f t="shared" si="143"/>
        <v>1.9999999999992246E-5</v>
      </c>
      <c r="L59">
        <f t="shared" si="143"/>
        <v>1.9999999999992246E-5</v>
      </c>
      <c r="M59">
        <f t="shared" si="143"/>
        <v>1.9999999999992246E-5</v>
      </c>
      <c r="N59">
        <f t="shared" si="143"/>
        <v>1.9999999999992246E-5</v>
      </c>
      <c r="O59">
        <f t="shared" si="143"/>
        <v>1.0000000000010001E-5</v>
      </c>
      <c r="P59">
        <f t="shared" si="143"/>
        <v>-1.0000000000010001E-5</v>
      </c>
      <c r="Q59" s="120">
        <f t="shared" si="111"/>
        <v>-6.9999999999986739E-5</v>
      </c>
      <c r="R59" s="60">
        <f t="shared" si="112"/>
        <v>3.0000000000002247E-5</v>
      </c>
      <c r="S59" s="121">
        <f t="shared" si="113"/>
        <v>9.9999999999988987E-5</v>
      </c>
    </row>
    <row r="60" spans="1:19" x14ac:dyDescent="0.2">
      <c r="A60" s="32" t="s">
        <v>277</v>
      </c>
      <c r="B60">
        <f t="shared" ref="B60:C60" si="144">B11-$AG$11</f>
        <v>3.0000000000030003E-5</v>
      </c>
      <c r="C60">
        <f t="shared" si="144"/>
        <v>8.0000000000024496E-5</v>
      </c>
      <c r="D60">
        <f t="shared" ref="D60:E60" si="145">D11-$AG$11</f>
        <v>1.0000000000010001E-5</v>
      </c>
      <c r="E60">
        <f t="shared" si="145"/>
        <v>3.0000000000030003E-5</v>
      </c>
      <c r="F60">
        <f t="shared" ref="F60:G60" si="146">F11-$AG$11</f>
        <v>6.0000000000004494E-5</v>
      </c>
      <c r="G60">
        <f t="shared" si="146"/>
        <v>2.0000000000020002E-5</v>
      </c>
      <c r="H60">
        <f t="shared" ref="H60" si="147">H11-$AG$11</f>
        <v>4.9999999999994493E-5</v>
      </c>
      <c r="I60">
        <f t="shared" ref="I60:P60" si="148">I11-$AG$11</f>
        <v>2.0000000000020002E-5</v>
      </c>
      <c r="J60">
        <f t="shared" si="148"/>
        <v>6.0000000000004494E-5</v>
      </c>
      <c r="K60">
        <f t="shared" si="148"/>
        <v>3.9999999999984492E-5</v>
      </c>
      <c r="L60">
        <f t="shared" si="148"/>
        <v>3.9999999999984492E-5</v>
      </c>
      <c r="M60">
        <f t="shared" si="148"/>
        <v>2.0000000000020002E-5</v>
      </c>
      <c r="N60">
        <f t="shared" si="148"/>
        <v>7.0000000000014495E-5</v>
      </c>
      <c r="O60">
        <f t="shared" si="148"/>
        <v>4.9999999999994493E-5</v>
      </c>
      <c r="P60">
        <f t="shared" si="148"/>
        <v>7.0000000000014495E-5</v>
      </c>
      <c r="Q60" s="120">
        <f t="shared" si="111"/>
        <v>1.0000000000010001E-5</v>
      </c>
      <c r="R60" s="60">
        <f t="shared" si="112"/>
        <v>7.0000000000014495E-5</v>
      </c>
      <c r="S60" s="121">
        <f t="shared" si="113"/>
        <v>6.0000000000004494E-5</v>
      </c>
    </row>
    <row r="61" spans="1:19" x14ac:dyDescent="0.2">
      <c r="A61" s="32" t="s">
        <v>278</v>
      </c>
      <c r="B61">
        <f t="shared" ref="B61:C61" si="149">B12-$AG$12</f>
        <v>-1.0000000000010001E-5</v>
      </c>
      <c r="C61">
        <f t="shared" si="149"/>
        <v>-2.9999999999974492E-5</v>
      </c>
      <c r="D61">
        <f t="shared" ref="D61:E61" si="150">D12-$AG$12</f>
        <v>4.0000000000040004E-5</v>
      </c>
      <c r="E61">
        <f t="shared" si="150"/>
        <v>-2.9999999999974492E-5</v>
      </c>
      <c r="F61">
        <f t="shared" ref="F61:G61" si="151">F12-$AG$12</f>
        <v>-7.0000000000014495E-5</v>
      </c>
      <c r="G61">
        <f t="shared" si="151"/>
        <v>-1.0000000000010001E-5</v>
      </c>
      <c r="H61">
        <f t="shared" ref="H61" si="152">H12-$AG$12</f>
        <v>0</v>
      </c>
      <c r="I61">
        <f t="shared" ref="I61:P61" si="153">I12-$AG$12</f>
        <v>1.0000000000010001E-5</v>
      </c>
      <c r="J61">
        <f t="shared" si="153"/>
        <v>-2.9999999999974492E-5</v>
      </c>
      <c r="K61">
        <f t="shared" si="153"/>
        <v>-2.9999999999974492E-5</v>
      </c>
      <c r="L61">
        <f t="shared" si="153"/>
        <v>-1.0000000000010001E-5</v>
      </c>
      <c r="M61">
        <f t="shared" si="153"/>
        <v>4.9999999999994493E-5</v>
      </c>
      <c r="N61">
        <f t="shared" si="153"/>
        <v>-1.9999999999964491E-5</v>
      </c>
      <c r="O61">
        <f t="shared" si="153"/>
        <v>0</v>
      </c>
      <c r="P61">
        <f t="shared" si="153"/>
        <v>-1.0000000000010001E-5</v>
      </c>
      <c r="Q61" s="120">
        <f t="shared" si="111"/>
        <v>-7.0000000000014495E-5</v>
      </c>
      <c r="R61" s="60">
        <f t="shared" si="112"/>
        <v>4.9999999999994493E-5</v>
      </c>
      <c r="S61" s="121">
        <f t="shared" si="113"/>
        <v>1.2000000000000899E-4</v>
      </c>
    </row>
    <row r="62" spans="1:19" x14ac:dyDescent="0.2">
      <c r="A62" s="32" t="s">
        <v>279</v>
      </c>
      <c r="B62">
        <f t="shared" ref="B62:C62" si="154">B13-$AG$13</f>
        <v>6.0000000000004494E-5</v>
      </c>
      <c r="C62">
        <f t="shared" si="154"/>
        <v>1.2000000000000899E-4</v>
      </c>
      <c r="D62">
        <f t="shared" ref="D62:E62" si="155">D13-$AG$13</f>
        <v>4.9999999999994493E-5</v>
      </c>
      <c r="E62">
        <f t="shared" si="155"/>
        <v>4.9999999999994493E-5</v>
      </c>
      <c r="F62">
        <f t="shared" ref="F62:G62" si="156">F13-$AG$13</f>
        <v>9.0000000000034497E-5</v>
      </c>
      <c r="G62">
        <f t="shared" si="156"/>
        <v>3.0000000000030003E-5</v>
      </c>
      <c r="H62">
        <f t="shared" ref="H62" si="157">H13-$AG$13</f>
        <v>1.0000000000010001E-5</v>
      </c>
      <c r="I62">
        <f t="shared" ref="I62:P62" si="158">I13-$AG$13</f>
        <v>2.0000000000020002E-5</v>
      </c>
      <c r="J62">
        <f t="shared" si="158"/>
        <v>2.0000000000020002E-5</v>
      </c>
      <c r="K62">
        <f t="shared" si="158"/>
        <v>4.0000000000040004E-5</v>
      </c>
      <c r="L62">
        <f t="shared" si="158"/>
        <v>4.0000000000040004E-5</v>
      </c>
      <c r="M62">
        <f t="shared" si="158"/>
        <v>4.0000000000040004E-5</v>
      </c>
      <c r="N62">
        <f t="shared" si="158"/>
        <v>6.0000000000004494E-5</v>
      </c>
      <c r="O62">
        <f t="shared" si="158"/>
        <v>6.0000000000004494E-5</v>
      </c>
      <c r="P62">
        <f t="shared" si="158"/>
        <v>2.0000000000020002E-5</v>
      </c>
      <c r="Q62" s="120">
        <f t="shared" si="111"/>
        <v>1.0000000000010001E-5</v>
      </c>
      <c r="R62" s="60">
        <f t="shared" si="112"/>
        <v>9.0000000000034497E-5</v>
      </c>
      <c r="S62" s="121">
        <f t="shared" si="113"/>
        <v>8.0000000000024496E-5</v>
      </c>
    </row>
    <row r="63" spans="1:19" x14ac:dyDescent="0.2">
      <c r="A63" s="32" t="s">
        <v>280</v>
      </c>
      <c r="B63">
        <f t="shared" ref="B63:C63" si="159">B14-$AG$14</f>
        <v>1.8999999999999573E-4</v>
      </c>
      <c r="C63">
        <f t="shared" si="159"/>
        <v>1.7000000000000348E-4</v>
      </c>
      <c r="D63">
        <f t="shared" ref="D63:E63" si="160">D14-$AG$14</f>
        <v>1.8000000000001348E-4</v>
      </c>
      <c r="E63">
        <f t="shared" si="160"/>
        <v>1.8000000000001348E-4</v>
      </c>
      <c r="F63">
        <f t="shared" ref="F63:G63" si="161">F14-$AG$14</f>
        <v>1.8999999999999573E-4</v>
      </c>
      <c r="G63">
        <f t="shared" si="161"/>
        <v>1.8000000000001348E-4</v>
      </c>
      <c r="H63">
        <f t="shared" ref="H63" si="162">H14-$AG$14</f>
        <v>1.8000000000001348E-4</v>
      </c>
      <c r="I63">
        <f t="shared" ref="I63:P63" si="163">I14-$AG$14</f>
        <v>2.1000000000001573E-4</v>
      </c>
      <c r="J63">
        <f t="shared" si="163"/>
        <v>1.8000000000001348E-4</v>
      </c>
      <c r="K63">
        <f t="shared" si="163"/>
        <v>1.5000000000001124E-4</v>
      </c>
      <c r="L63">
        <f t="shared" si="163"/>
        <v>1.5000000000001124E-4</v>
      </c>
      <c r="M63">
        <f t="shared" si="163"/>
        <v>1.2999999999999123E-4</v>
      </c>
      <c r="N63">
        <f t="shared" si="163"/>
        <v>1.5999999999999348E-4</v>
      </c>
      <c r="O63">
        <f t="shared" si="163"/>
        <v>1.4000000000000123E-4</v>
      </c>
      <c r="P63">
        <f t="shared" si="163"/>
        <v>1.2999999999999123E-4</v>
      </c>
      <c r="Q63" s="120">
        <f t="shared" si="111"/>
        <v>1.2999999999999123E-4</v>
      </c>
      <c r="R63" s="60">
        <f t="shared" si="112"/>
        <v>2.1000000000001573E-4</v>
      </c>
      <c r="S63" s="121">
        <f t="shared" si="113"/>
        <v>8.0000000000024496E-5</v>
      </c>
    </row>
    <row r="64" spans="1:19" x14ac:dyDescent="0.2">
      <c r="A64" s="32" t="s">
        <v>282</v>
      </c>
      <c r="B64">
        <f t="shared" ref="B64:C64" si="164">B15-$AG$15</f>
        <v>2.9999999999999472E-4</v>
      </c>
      <c r="C64">
        <f t="shared" si="164"/>
        <v>3.3999999999997921E-4</v>
      </c>
      <c r="D64">
        <f t="shared" ref="D64:E64" si="165">D15-$AG$15</f>
        <v>2.9999999999999472E-4</v>
      </c>
      <c r="E64">
        <f t="shared" si="165"/>
        <v>2.9999999999999472E-4</v>
      </c>
      <c r="F64">
        <f t="shared" ref="F64:G64" si="166">F15-$AG$15</f>
        <v>2.1999999999999797E-4</v>
      </c>
      <c r="G64">
        <f t="shared" si="166"/>
        <v>2.7999999999997471E-4</v>
      </c>
      <c r="H64">
        <f t="shared" ref="H64" si="167">H15-$AG$15</f>
        <v>2.8999999999998471E-4</v>
      </c>
      <c r="I64">
        <f t="shared" ref="I64:P64" si="168">I15-$AG$15</f>
        <v>2.6999999999999247E-4</v>
      </c>
      <c r="J64">
        <f t="shared" si="168"/>
        <v>1.9999999999997797E-4</v>
      </c>
      <c r="K64">
        <f t="shared" si="168"/>
        <v>2.7999999999997471E-4</v>
      </c>
      <c r="L64">
        <f t="shared" si="168"/>
        <v>2.8999999999998471E-4</v>
      </c>
      <c r="M64">
        <f t="shared" si="168"/>
        <v>2.9999999999999472E-4</v>
      </c>
      <c r="N64">
        <f t="shared" si="168"/>
        <v>2.5000000000000022E-4</v>
      </c>
      <c r="O64">
        <f t="shared" si="168"/>
        <v>2.9999999999999472E-4</v>
      </c>
      <c r="P64">
        <f t="shared" si="168"/>
        <v>2.5000000000000022E-4</v>
      </c>
      <c r="Q64" s="120">
        <f t="shared" si="111"/>
        <v>1.9999999999997797E-4</v>
      </c>
      <c r="R64" s="60">
        <f t="shared" si="112"/>
        <v>2.9999999999999472E-4</v>
      </c>
      <c r="S64" s="121">
        <f t="shared" si="113"/>
        <v>1.0000000000001674E-4</v>
      </c>
    </row>
    <row r="65" spans="1:21" x14ac:dyDescent="0.2">
      <c r="A65" s="32" t="s">
        <v>283</v>
      </c>
      <c r="B65">
        <f t="shared" ref="B65:C65" si="169">B16-$AG$16</f>
        <v>-5.7999999999999718E-4</v>
      </c>
      <c r="C65">
        <f t="shared" si="169"/>
        <v>-5.0000000000000044E-4</v>
      </c>
      <c r="D65">
        <f t="shared" ref="D65:E65" si="170">D16-$AG$16</f>
        <v>-5.1999999999999269E-4</v>
      </c>
      <c r="E65">
        <f t="shared" si="170"/>
        <v>-5.3999999999998494E-4</v>
      </c>
      <c r="F65">
        <f t="shared" ref="F65:G65" si="171">F16-$AG$16</f>
        <v>-5.3999999999998494E-4</v>
      </c>
      <c r="G65">
        <f t="shared" si="171"/>
        <v>-5.6999999999998718E-4</v>
      </c>
      <c r="H65">
        <f t="shared" ref="H65" si="172">H16-$AG$16</f>
        <v>-5.8999999999997943E-4</v>
      </c>
      <c r="I65">
        <f t="shared" ref="I65:P65" si="173">I16-$AG$16</f>
        <v>-5.4999999999999494E-4</v>
      </c>
      <c r="J65">
        <f t="shared" si="173"/>
        <v>-4.499999999999782E-4</v>
      </c>
      <c r="K65">
        <f t="shared" si="173"/>
        <v>-4.599999999999882E-4</v>
      </c>
      <c r="L65">
        <f t="shared" si="173"/>
        <v>-4.1999999999997595E-4</v>
      </c>
      <c r="M65">
        <f t="shared" si="173"/>
        <v>-4.099999999999937E-4</v>
      </c>
      <c r="N65">
        <f t="shared" si="173"/>
        <v>-3.9000000000000146E-4</v>
      </c>
      <c r="O65">
        <f t="shared" si="173"/>
        <v>-4.1999999999997595E-4</v>
      </c>
      <c r="P65">
        <f t="shared" si="173"/>
        <v>-4.099999999999937E-4</v>
      </c>
      <c r="Q65" s="120">
        <f t="shared" si="111"/>
        <v>-5.8999999999997943E-4</v>
      </c>
      <c r="R65" s="60">
        <f t="shared" si="112"/>
        <v>-3.9000000000000146E-4</v>
      </c>
      <c r="S65" s="121">
        <f t="shared" si="113"/>
        <v>1.9999999999997797E-4</v>
      </c>
    </row>
    <row r="66" spans="1:21" x14ac:dyDescent="0.2">
      <c r="A66" s="32" t="s">
        <v>284</v>
      </c>
      <c r="B66">
        <f t="shared" ref="B66:C66" si="174">B17-$AG$17</f>
        <v>1.9999999999997797E-4</v>
      </c>
      <c r="C66">
        <f t="shared" si="174"/>
        <v>2.3999999999999022E-4</v>
      </c>
      <c r="D66">
        <f t="shared" ref="D66:E66" si="175">D17-$AG$17</f>
        <v>1.5999999999999348E-4</v>
      </c>
      <c r="E66">
        <f t="shared" si="175"/>
        <v>1.5999999999999348E-4</v>
      </c>
      <c r="F66">
        <f t="shared" ref="F66:G66" si="176">F17-$AG$17</f>
        <v>1.2999999999999123E-4</v>
      </c>
      <c r="G66">
        <f t="shared" si="176"/>
        <v>1.3999999999997348E-4</v>
      </c>
      <c r="H66">
        <f t="shared" ref="H66" si="177">H17-$AG$17</f>
        <v>1.2999999999999123E-4</v>
      </c>
      <c r="I66">
        <f t="shared" ref="I66:P66" si="178">I17-$AG$17</f>
        <v>1.4999999999998348E-4</v>
      </c>
      <c r="J66">
        <f t="shared" si="178"/>
        <v>9.9999999999988987E-5</v>
      </c>
      <c r="K66">
        <f t="shared" si="178"/>
        <v>1.6999999999997573E-4</v>
      </c>
      <c r="L66">
        <f t="shared" si="178"/>
        <v>1.7999999999998573E-4</v>
      </c>
      <c r="M66">
        <f t="shared" si="178"/>
        <v>1.8999999999999573E-4</v>
      </c>
      <c r="N66">
        <f t="shared" si="178"/>
        <v>1.8999999999999573E-4</v>
      </c>
      <c r="O66">
        <f t="shared" si="178"/>
        <v>1.5999999999999348E-4</v>
      </c>
      <c r="P66">
        <f t="shared" si="178"/>
        <v>1.4999999999998348E-4</v>
      </c>
      <c r="Q66" s="120">
        <f t="shared" si="111"/>
        <v>9.9999999999988987E-5</v>
      </c>
      <c r="R66" s="60">
        <f t="shared" si="112"/>
        <v>1.8999999999999573E-4</v>
      </c>
      <c r="S66" s="121">
        <f t="shared" si="113"/>
        <v>9.0000000000006741E-5</v>
      </c>
    </row>
    <row r="67" spans="1:21" x14ac:dyDescent="0.2">
      <c r="A67" s="32" t="s">
        <v>285</v>
      </c>
      <c r="B67">
        <f t="shared" ref="B67:C67" si="179">B18-$AG$18</f>
        <v>-1.5999999999999348E-4</v>
      </c>
      <c r="C67">
        <f t="shared" si="179"/>
        <v>-7.999999999999674E-5</v>
      </c>
      <c r="D67">
        <f t="shared" ref="D67:E67" si="180">D18-$AG$18</f>
        <v>-9.9999999999988987E-5</v>
      </c>
      <c r="E67">
        <f t="shared" si="180"/>
        <v>-1.1999999999998123E-4</v>
      </c>
      <c r="F67">
        <f t="shared" ref="F67:G67" si="181">F18-$AG$18</f>
        <v>-1.2999999999999123E-4</v>
      </c>
      <c r="G67">
        <f t="shared" si="181"/>
        <v>-1.0999999999999899E-4</v>
      </c>
      <c r="H67">
        <f t="shared" ref="H67" si="182">H18-$AG$18</f>
        <v>-1.5999999999999348E-4</v>
      </c>
      <c r="I67">
        <f t="shared" ref="I67:P67" si="183">I18-$AG$18</f>
        <v>-1.4000000000000123E-4</v>
      </c>
      <c r="J67">
        <f t="shared" si="183"/>
        <v>-9.9999999999988987E-5</v>
      </c>
      <c r="K67">
        <f t="shared" si="183"/>
        <v>-1.8999999999999573E-4</v>
      </c>
      <c r="L67">
        <f t="shared" si="183"/>
        <v>-1.5999999999999348E-4</v>
      </c>
      <c r="M67">
        <f t="shared" si="183"/>
        <v>-1.4000000000000123E-4</v>
      </c>
      <c r="N67">
        <f t="shared" si="183"/>
        <v>-1.7999999999998573E-4</v>
      </c>
      <c r="O67">
        <f t="shared" si="183"/>
        <v>-9.0000000000006741E-5</v>
      </c>
      <c r="P67">
        <f t="shared" si="183"/>
        <v>-2.0000000000000573E-4</v>
      </c>
      <c r="Q67" s="120">
        <f t="shared" si="111"/>
        <v>-2.0000000000000573E-4</v>
      </c>
      <c r="R67" s="60">
        <f t="shared" si="112"/>
        <v>-9.0000000000006741E-5</v>
      </c>
      <c r="S67" s="121">
        <f t="shared" si="113"/>
        <v>1.0999999999999899E-4</v>
      </c>
    </row>
    <row r="68" spans="1:21" x14ac:dyDescent="0.2">
      <c r="A68" s="32" t="s">
        <v>286</v>
      </c>
      <c r="B68">
        <f t="shared" ref="B68:C68" si="184">B19-$AG$19</f>
        <v>9.2000000000000415E-4</v>
      </c>
      <c r="C68">
        <f t="shared" si="184"/>
        <v>9.6999999999999864E-4</v>
      </c>
      <c r="D68">
        <f t="shared" ref="D68:E68" si="185">D19-$AG$19</f>
        <v>9.5999999999998864E-4</v>
      </c>
      <c r="E68">
        <f t="shared" si="185"/>
        <v>9.2000000000000415E-4</v>
      </c>
      <c r="F68">
        <f t="shared" ref="F68:G68" si="186">F19-$AG$19</f>
        <v>9.3999999999999639E-4</v>
      </c>
      <c r="G68">
        <f t="shared" si="186"/>
        <v>9.000000000000119E-4</v>
      </c>
      <c r="H68">
        <f t="shared" ref="H68" si="187">H19-$AG$19</f>
        <v>9.0999999999999415E-4</v>
      </c>
      <c r="I68">
        <f t="shared" ref="I68:P68" si="188">I19-$AG$19</f>
        <v>8.900000000000019E-4</v>
      </c>
      <c r="J68">
        <f t="shared" si="188"/>
        <v>8.5999999999999965E-4</v>
      </c>
      <c r="K68">
        <f t="shared" si="188"/>
        <v>9.8000000000000864E-4</v>
      </c>
      <c r="L68">
        <f t="shared" si="188"/>
        <v>1.0000000000000009E-3</v>
      </c>
      <c r="M68">
        <f t="shared" si="188"/>
        <v>9.8999999999999089E-4</v>
      </c>
      <c r="N68">
        <f t="shared" si="188"/>
        <v>1.0399999999999854E-3</v>
      </c>
      <c r="O68">
        <f t="shared" si="188"/>
        <v>9.6999999999999864E-4</v>
      </c>
      <c r="P68">
        <f t="shared" si="188"/>
        <v>9.8999999999999089E-4</v>
      </c>
      <c r="Q68" s="120">
        <f t="shared" si="111"/>
        <v>8.5999999999999965E-4</v>
      </c>
      <c r="R68" s="60">
        <f t="shared" si="112"/>
        <v>1.0399999999999854E-3</v>
      </c>
      <c r="S68" s="121">
        <f t="shared" si="113"/>
        <v>1.7999999999998573E-4</v>
      </c>
    </row>
    <row r="69" spans="1:21" x14ac:dyDescent="0.2">
      <c r="A69" s="32" t="s">
        <v>287</v>
      </c>
      <c r="B69">
        <f t="shared" ref="B69:C69" si="189">B20-$AG$20</f>
        <v>-1.0200000000000209E-3</v>
      </c>
      <c r="C69">
        <f t="shared" si="189"/>
        <v>-9.8000000000000864E-4</v>
      </c>
      <c r="D69">
        <f t="shared" ref="D69:E69" si="190">D20-$AG$20</f>
        <v>-9.8000000000000864E-4</v>
      </c>
      <c r="E69">
        <f t="shared" si="190"/>
        <v>-9.6999999999999864E-4</v>
      </c>
      <c r="F69">
        <f t="shared" ref="F69:G69" si="191">F20-$AG$20</f>
        <v>-1.0300000000000031E-3</v>
      </c>
      <c r="G69">
        <f t="shared" si="191"/>
        <v>-1.0000000000000009E-3</v>
      </c>
      <c r="H69">
        <f t="shared" ref="H69" si="192">H20-$AG$20</f>
        <v>-1.0100000000000109E-3</v>
      </c>
      <c r="I69">
        <f t="shared" ref="I69:P69" si="193">I20-$AG$20</f>
        <v>-9.600000000000164E-4</v>
      </c>
      <c r="J69">
        <f t="shared" si="193"/>
        <v>-9.6999999999999864E-4</v>
      </c>
      <c r="K69">
        <f t="shared" si="193"/>
        <v>-1.0100000000000109E-3</v>
      </c>
      <c r="L69">
        <f t="shared" si="193"/>
        <v>-9.5000000000000639E-4</v>
      </c>
      <c r="M69">
        <f t="shared" si="193"/>
        <v>-8.900000000000019E-4</v>
      </c>
      <c r="N69">
        <f t="shared" si="193"/>
        <v>-9.3000000000001415E-4</v>
      </c>
      <c r="O69">
        <f t="shared" si="193"/>
        <v>-9.100000000000219E-4</v>
      </c>
      <c r="P69">
        <f t="shared" si="193"/>
        <v>-8.900000000000019E-4</v>
      </c>
      <c r="Q69" s="120">
        <f t="shared" si="111"/>
        <v>-1.0300000000000031E-3</v>
      </c>
      <c r="R69" s="60">
        <f t="shared" si="112"/>
        <v>-8.900000000000019E-4</v>
      </c>
      <c r="S69" s="121">
        <f t="shared" si="113"/>
        <v>1.4000000000000123E-4</v>
      </c>
    </row>
    <row r="70" spans="1:21" x14ac:dyDescent="0.2">
      <c r="A70" s="32" t="s">
        <v>288</v>
      </c>
      <c r="B70">
        <f t="shared" ref="B70:C70" si="194">B21-$AG$21</f>
        <v>-9.0000000000006741E-5</v>
      </c>
      <c r="C70">
        <f t="shared" si="194"/>
        <v>9.0000000000006741E-5</v>
      </c>
      <c r="D70">
        <f t="shared" ref="D70:E70" si="195">D21-$AG$21</f>
        <v>-1.0000000000010001E-5</v>
      </c>
      <c r="E70">
        <f t="shared" si="195"/>
        <v>-7.999999999999674E-5</v>
      </c>
      <c r="F70">
        <f t="shared" ref="F70:G70" si="196">F21-$AG$21</f>
        <v>-7.999999999999674E-5</v>
      </c>
      <c r="G70">
        <f t="shared" si="196"/>
        <v>-6.0000000000004494E-5</v>
      </c>
      <c r="H70">
        <f t="shared" ref="H70" si="197">H21-$AG$21</f>
        <v>-6.0000000000004494E-5</v>
      </c>
      <c r="I70">
        <f t="shared" ref="I70:P70" si="198">I21-$AG$21</f>
        <v>-4.9999999999994493E-5</v>
      </c>
      <c r="J70">
        <f t="shared" si="198"/>
        <v>-3.0000000000002247E-5</v>
      </c>
      <c r="K70">
        <f t="shared" si="198"/>
        <v>-2.0000000000020002E-5</v>
      </c>
      <c r="L70">
        <f t="shared" si="198"/>
        <v>-2.0000000000020002E-5</v>
      </c>
      <c r="M70">
        <f t="shared" si="198"/>
        <v>-4.9999999999994493E-5</v>
      </c>
      <c r="N70">
        <f t="shared" si="198"/>
        <v>1.9999999999992246E-5</v>
      </c>
      <c r="O70">
        <f t="shared" si="198"/>
        <v>-7.999999999999674E-5</v>
      </c>
      <c r="P70">
        <f t="shared" si="198"/>
        <v>-4.0000000000012248E-5</v>
      </c>
      <c r="Q70" s="120">
        <f t="shared" si="111"/>
        <v>-7.999999999999674E-5</v>
      </c>
      <c r="R70" s="60">
        <f t="shared" si="112"/>
        <v>1.9999999999992246E-5</v>
      </c>
      <c r="S70" s="121">
        <f t="shared" si="113"/>
        <v>9.9999999999988987E-5</v>
      </c>
    </row>
    <row r="71" spans="1:21" ht="15.75" thickBot="1" x14ac:dyDescent="0.25">
      <c r="A71" s="32" t="s">
        <v>289</v>
      </c>
      <c r="B71">
        <f t="shared" ref="B71:C71" si="199">B22-$AG$22</f>
        <v>9.9999999999822453E-6</v>
      </c>
      <c r="C71">
        <f t="shared" si="199"/>
        <v>9.9999999999988987E-5</v>
      </c>
      <c r="D71">
        <f t="shared" ref="D71:E71" si="200">D22-$AG$22</f>
        <v>1.9999999999992246E-5</v>
      </c>
      <c r="E71">
        <f t="shared" si="200"/>
        <v>0</v>
      </c>
      <c r="F71">
        <f t="shared" ref="F71:G71" si="201">F22-$AG$22</f>
        <v>-2.0000000000020002E-5</v>
      </c>
      <c r="G71">
        <f t="shared" si="201"/>
        <v>-8.0000000000024496E-5</v>
      </c>
      <c r="H71">
        <f t="shared" ref="H71" si="202">H22-$AG$22</f>
        <v>-3.0000000000002247E-5</v>
      </c>
      <c r="I71">
        <f t="shared" ref="I71:P71" si="203">I22-$AG$22</f>
        <v>-5.0000000000022249E-5</v>
      </c>
      <c r="J71">
        <f t="shared" si="203"/>
        <v>-7.0000000000014495E-5</v>
      </c>
      <c r="K71">
        <f t="shared" si="203"/>
        <v>-3.0000000000002247E-5</v>
      </c>
      <c r="L71">
        <f t="shared" si="203"/>
        <v>3.0000000000002247E-5</v>
      </c>
      <c r="M71">
        <f t="shared" si="203"/>
        <v>5.9999999999976739E-5</v>
      </c>
      <c r="N71">
        <f t="shared" si="203"/>
        <v>6.9999999999986739E-5</v>
      </c>
      <c r="O71">
        <f t="shared" si="203"/>
        <v>9.9999999999988987E-5</v>
      </c>
      <c r="P71">
        <f t="shared" si="203"/>
        <v>0</v>
      </c>
      <c r="Q71" s="122">
        <f t="shared" si="111"/>
        <v>-8.0000000000024496E-5</v>
      </c>
      <c r="R71" s="123">
        <f t="shared" si="112"/>
        <v>9.9999999999988987E-5</v>
      </c>
      <c r="S71" s="124">
        <f t="shared" si="113"/>
        <v>1.8000000000001348E-4</v>
      </c>
    </row>
    <row r="73" spans="1:21" ht="15.75" x14ac:dyDescent="0.25">
      <c r="A73" s="32" t="s">
        <v>344</v>
      </c>
      <c r="B73" s="32"/>
      <c r="C73" s="32"/>
      <c r="D73" s="32"/>
      <c r="E73" s="32"/>
      <c r="F73" s="32"/>
      <c r="G73" s="32"/>
      <c r="H73" s="32"/>
    </row>
    <row r="74" spans="1:21" x14ac:dyDescent="0.2">
      <c r="A74" s="32" t="s">
        <v>323</v>
      </c>
      <c r="B74" s="32"/>
      <c r="C74" s="32"/>
      <c r="D74" s="32"/>
      <c r="E74" s="32"/>
      <c r="F74" s="32"/>
      <c r="G74" s="32"/>
      <c r="H74" s="32"/>
    </row>
    <row r="75" spans="1:21" ht="15.75" x14ac:dyDescent="0.2">
      <c r="A75" t="s">
        <v>269</v>
      </c>
      <c r="B75" s="116" t="s">
        <v>423</v>
      </c>
      <c r="C75" s="116" t="s">
        <v>423</v>
      </c>
      <c r="D75" s="116" t="s">
        <v>417</v>
      </c>
      <c r="E75" s="116" t="s">
        <v>414</v>
      </c>
      <c r="F75" s="116" t="s">
        <v>408</v>
      </c>
      <c r="G75" s="116" t="s">
        <v>402</v>
      </c>
      <c r="H75" s="116" t="s">
        <v>394</v>
      </c>
      <c r="I75" s="116" t="s">
        <v>330</v>
      </c>
      <c r="J75" s="116" t="s">
        <v>331</v>
      </c>
      <c r="K75" s="116" t="s">
        <v>332</v>
      </c>
      <c r="L75" s="116" t="s">
        <v>333</v>
      </c>
      <c r="M75" s="116" t="s">
        <v>334</v>
      </c>
      <c r="N75" s="116" t="s">
        <v>335</v>
      </c>
      <c r="O75" s="116" t="s">
        <v>336</v>
      </c>
      <c r="P75" s="116" t="s">
        <v>337</v>
      </c>
      <c r="Q75" s="116" t="s">
        <v>338</v>
      </c>
      <c r="R75" s="116" t="s">
        <v>339</v>
      </c>
      <c r="S75" s="116" t="s">
        <v>340</v>
      </c>
      <c r="T75" s="116" t="s">
        <v>341</v>
      </c>
      <c r="U75" s="116" t="s">
        <v>318</v>
      </c>
    </row>
    <row r="76" spans="1:21" x14ac:dyDescent="0.2">
      <c r="A76" s="32" t="s">
        <v>270</v>
      </c>
      <c r="B76">
        <f>B3-$AL$3</f>
        <v>-2.0000000000006124E-5</v>
      </c>
      <c r="C76">
        <f>C3-$AL$3</f>
        <v>7.0000000000000617E-5</v>
      </c>
      <c r="D76">
        <f>D3-$AL$3</f>
        <v>4.9999999999994493E-5</v>
      </c>
      <c r="E76">
        <f>E3-$AL$3</f>
        <v>-7.0000000000000617E-5</v>
      </c>
      <c r="F76">
        <f>F3-$AL$3</f>
        <v>-9.0000000000006741E-5</v>
      </c>
      <c r="G76">
        <f t="shared" ref="G76:H76" si="204">G3-$AL$3</f>
        <v>-9.9999999999961231E-6</v>
      </c>
      <c r="H76">
        <f t="shared" si="204"/>
        <v>9.9999999999961231E-6</v>
      </c>
      <c r="I76">
        <f t="shared" ref="I76:P76" si="205">I3-$AL$3</f>
        <v>-6.0000000000004494E-5</v>
      </c>
      <c r="J76">
        <f t="shared" si="205"/>
        <v>-1.6000000000000736E-4</v>
      </c>
      <c r="K76">
        <f t="shared" si="205"/>
        <v>-7.0000000000000617E-5</v>
      </c>
      <c r="L76">
        <f t="shared" si="205"/>
        <v>3.0000000000002247E-5</v>
      </c>
      <c r="M76">
        <f t="shared" si="205"/>
        <v>-3.999999999999837E-5</v>
      </c>
      <c r="N76">
        <f t="shared" si="205"/>
        <v>-1.3000000000000511E-4</v>
      </c>
      <c r="O76">
        <f t="shared" si="205"/>
        <v>-5.0000000000008371E-5</v>
      </c>
      <c r="P76">
        <f t="shared" si="205"/>
        <v>-2.0000000000006124E-5</v>
      </c>
      <c r="Q76">
        <f>AG3-$AL$3</f>
        <v>-5.0000000000008371E-5</v>
      </c>
      <c r="R76">
        <f>AH3-$AL$3</f>
        <v>-2.0000000000006124E-5</v>
      </c>
      <c r="S76">
        <f>AI3-$AL$3</f>
        <v>-2.0000000000006124E-5</v>
      </c>
      <c r="T76">
        <f>AJ3-$AL$3</f>
        <v>0</v>
      </c>
      <c r="U76">
        <f>AK3-$AL$3</f>
        <v>3.999999999999837E-5</v>
      </c>
    </row>
    <row r="77" spans="1:21" x14ac:dyDescent="0.2">
      <c r="A77" s="32" t="s">
        <v>271</v>
      </c>
      <c r="B77">
        <f t="shared" ref="B77" si="206">B4-$AL$4</f>
        <v>-2.0000000000020002E-5</v>
      </c>
      <c r="C77">
        <f t="shared" ref="C77:D77" si="207">C4-$AL$4</f>
        <v>-7.999999999999674E-5</v>
      </c>
      <c r="D77">
        <f t="shared" si="207"/>
        <v>-3.0000000000002247E-5</v>
      </c>
      <c r="E77">
        <f t="shared" ref="E77:F77" si="208">E4-$AL$4</f>
        <v>-2.0000000000020002E-5</v>
      </c>
      <c r="F77">
        <f t="shared" si="208"/>
        <v>3.0000000000002247E-5</v>
      </c>
      <c r="G77">
        <f t="shared" ref="G77:H77" si="209">G4-$AL$4</f>
        <v>0</v>
      </c>
      <c r="H77">
        <f t="shared" si="209"/>
        <v>0</v>
      </c>
      <c r="I77">
        <f t="shared" ref="I77:P77" si="210">I4-$AL$4</f>
        <v>-1.0000000000010001E-5</v>
      </c>
      <c r="J77">
        <f t="shared" si="210"/>
        <v>1.9999999999992246E-5</v>
      </c>
      <c r="K77">
        <f t="shared" si="210"/>
        <v>9.9999999999822453E-6</v>
      </c>
      <c r="L77">
        <f t="shared" si="210"/>
        <v>-3.0000000000002247E-5</v>
      </c>
      <c r="M77">
        <f t="shared" si="210"/>
        <v>-2.0000000000020002E-5</v>
      </c>
      <c r="N77">
        <f t="shared" si="210"/>
        <v>-1.0000000000010001E-5</v>
      </c>
      <c r="O77">
        <f t="shared" si="210"/>
        <v>3.0000000000002247E-5</v>
      </c>
      <c r="P77">
        <f t="shared" si="210"/>
        <v>-4.0000000000012248E-5</v>
      </c>
      <c r="Q77">
        <f>AG4-$AL$4</f>
        <v>-4.0000000000012248E-5</v>
      </c>
      <c r="R77">
        <f>AH4-$AL$4</f>
        <v>9.9999999999822453E-6</v>
      </c>
      <c r="S77">
        <f>AI4-$AL$4</f>
        <v>9.9999999999822453E-6</v>
      </c>
      <c r="T77">
        <f>AJ4-$AL$4</f>
        <v>-5.0000000000022249E-5</v>
      </c>
      <c r="U77">
        <f>AK4-$AL$4</f>
        <v>-3.0000000000002247E-5</v>
      </c>
    </row>
    <row r="78" spans="1:21" x14ac:dyDescent="0.2">
      <c r="A78" s="32" t="s">
        <v>272</v>
      </c>
      <c r="B78">
        <f t="shared" ref="B78" si="211">B5-$AL$5</f>
        <v>1.8000000000001348E-4</v>
      </c>
      <c r="C78">
        <f t="shared" ref="C78:D78" si="212">C5-$AL$5</f>
        <v>1.5000000000001124E-4</v>
      </c>
      <c r="D78">
        <f t="shared" si="212"/>
        <v>1.8000000000001348E-4</v>
      </c>
      <c r="E78">
        <f t="shared" ref="E78:F78" si="213">E5-$AL$5</f>
        <v>1.7000000000000348E-4</v>
      </c>
      <c r="F78">
        <f t="shared" si="213"/>
        <v>7.0000000000014495E-5</v>
      </c>
      <c r="G78">
        <f t="shared" ref="G78:H78" si="214">G5-$AL$5</f>
        <v>1.4000000000000123E-4</v>
      </c>
      <c r="H78">
        <f t="shared" si="214"/>
        <v>1.6000000000002124E-4</v>
      </c>
      <c r="I78">
        <f t="shared" ref="I78:P78" si="215">I5-$AL$5</f>
        <v>1.7000000000000348E-4</v>
      </c>
      <c r="J78">
        <f t="shared" si="215"/>
        <v>1.7000000000000348E-4</v>
      </c>
      <c r="K78">
        <f t="shared" si="215"/>
        <v>1.8000000000001348E-4</v>
      </c>
      <c r="L78">
        <f t="shared" si="215"/>
        <v>1.3000000000001899E-4</v>
      </c>
      <c r="M78">
        <f t="shared" si="215"/>
        <v>1.5000000000001124E-4</v>
      </c>
      <c r="N78">
        <f t="shared" si="215"/>
        <v>2.0000000000000573E-4</v>
      </c>
      <c r="O78">
        <f t="shared" si="215"/>
        <v>2.1000000000001573E-4</v>
      </c>
      <c r="P78">
        <f t="shared" si="215"/>
        <v>2.1000000000001573E-4</v>
      </c>
      <c r="Q78">
        <f>AG5-$AL$5</f>
        <v>-1.2999999999999123E-4</v>
      </c>
      <c r="R78">
        <f>AH5-$AL$5</f>
        <v>-2.0999999999998797E-4</v>
      </c>
      <c r="S78">
        <f>AI5-$AL$5</f>
        <v>1.0000000000010001E-5</v>
      </c>
      <c r="T78">
        <f>AJ5-$AL$5</f>
        <v>9.0000000000006741E-5</v>
      </c>
      <c r="U78">
        <f>AK5-$AL$5</f>
        <v>-9.9999999999822453E-6</v>
      </c>
    </row>
    <row r="79" spans="1:21" x14ac:dyDescent="0.2">
      <c r="A79" s="32" t="s">
        <v>273</v>
      </c>
      <c r="B79">
        <f t="shared" ref="B79" si="216">B6-$AL$6</f>
        <v>-3.2000000000001472E-4</v>
      </c>
      <c r="C79">
        <f t="shared" ref="C79:D79" si="217">C6-$AL$6</f>
        <v>-2.8000000000000247E-4</v>
      </c>
      <c r="D79">
        <f t="shared" si="217"/>
        <v>-3.4000000000000696E-4</v>
      </c>
      <c r="E79">
        <f t="shared" ref="E79:F79" si="218">E6-$AL$6</f>
        <v>-2.9000000000001247E-4</v>
      </c>
      <c r="F79">
        <f t="shared" si="218"/>
        <v>-2.1999999999999797E-4</v>
      </c>
      <c r="G79">
        <f t="shared" ref="G79:H79" si="219">G6-$AL$6</f>
        <v>-2.9000000000001247E-4</v>
      </c>
      <c r="H79">
        <f t="shared" si="219"/>
        <v>-2.9000000000001247E-4</v>
      </c>
      <c r="I79">
        <f t="shared" ref="I79:P79" si="220">I6-$AL$6</f>
        <v>-3.5000000000001696E-4</v>
      </c>
      <c r="J79">
        <f t="shared" si="220"/>
        <v>-3.0000000000002247E-4</v>
      </c>
      <c r="K79">
        <f t="shared" si="220"/>
        <v>-3.0000000000002247E-4</v>
      </c>
      <c r="L79">
        <f t="shared" si="220"/>
        <v>-2.5000000000000022E-4</v>
      </c>
      <c r="M79">
        <f t="shared" si="220"/>
        <v>-2.7000000000002022E-4</v>
      </c>
      <c r="N79">
        <f t="shared" si="220"/>
        <v>-3.2000000000001472E-4</v>
      </c>
      <c r="O79">
        <f t="shared" si="220"/>
        <v>-3.0000000000002247E-4</v>
      </c>
      <c r="P79">
        <f t="shared" si="220"/>
        <v>-2.9000000000001247E-4</v>
      </c>
      <c r="Q79">
        <f>AG6-$AL$6</f>
        <v>-1.0000000000001674E-4</v>
      </c>
      <c r="R79">
        <f>AH6-$AL$6</f>
        <v>-5.0000000000022249E-5</v>
      </c>
      <c r="S79">
        <f>AI6-$AL$6</f>
        <v>-2.3000000000000798E-4</v>
      </c>
      <c r="T79">
        <f>AJ6-$AL$6</f>
        <v>-2.1000000000001573E-4</v>
      </c>
      <c r="U79">
        <f>AK6-$AL$6</f>
        <v>4.9999999999994493E-5</v>
      </c>
    </row>
    <row r="80" spans="1:21" x14ac:dyDescent="0.2">
      <c r="A80" s="32" t="s">
        <v>281</v>
      </c>
      <c r="B80">
        <f t="shared" ref="B80" si="221">B7-$AL$7</f>
        <v>1.7999999999998573E-4</v>
      </c>
      <c r="C80">
        <f t="shared" ref="C80:D80" si="222">C7-$AL$7</f>
        <v>1.4000000000000123E-4</v>
      </c>
      <c r="D80">
        <f t="shared" si="222"/>
        <v>1.8999999999999573E-4</v>
      </c>
      <c r="E80">
        <f t="shared" ref="E80:F80" si="223">E7-$AL$7</f>
        <v>1.5999999999999348E-4</v>
      </c>
      <c r="F80">
        <f t="shared" si="223"/>
        <v>1.5999999999999348E-4</v>
      </c>
      <c r="G80">
        <f t="shared" ref="G80:H80" si="224">G7-$AL$7</f>
        <v>1.8999999999999573E-4</v>
      </c>
      <c r="H80">
        <f t="shared" si="224"/>
        <v>9.9999999999988987E-5</v>
      </c>
      <c r="I80">
        <f t="shared" ref="I80:P80" si="225">I7-$AL$7</f>
        <v>1.7999999999998573E-4</v>
      </c>
      <c r="J80">
        <f t="shared" si="225"/>
        <v>1.5999999999999348E-4</v>
      </c>
      <c r="K80">
        <f t="shared" si="225"/>
        <v>1.5999999999999348E-4</v>
      </c>
      <c r="L80">
        <f t="shared" si="225"/>
        <v>1.4000000000000123E-4</v>
      </c>
      <c r="M80">
        <f t="shared" si="225"/>
        <v>1.8999999999999573E-4</v>
      </c>
      <c r="N80">
        <f t="shared" si="225"/>
        <v>2.0999999999998797E-4</v>
      </c>
      <c r="O80">
        <f t="shared" si="225"/>
        <v>1.7999999999998573E-4</v>
      </c>
      <c r="P80">
        <f t="shared" si="225"/>
        <v>1.4999999999998348E-4</v>
      </c>
      <c r="Q80">
        <f>AG7-$AL$7</f>
        <v>2.5999999999998247E-4</v>
      </c>
      <c r="R80">
        <f>AH7-$AL$7</f>
        <v>3.2999999999999696E-4</v>
      </c>
      <c r="S80">
        <f>AI7-$AL$7</f>
        <v>2.1999999999999797E-4</v>
      </c>
      <c r="T80">
        <f>AJ7-$AL$7</f>
        <v>1.7000000000000348E-4</v>
      </c>
      <c r="U80">
        <f>AK7-$AL$7</f>
        <v>5.9999999999976739E-5</v>
      </c>
    </row>
    <row r="81" spans="1:21" x14ac:dyDescent="0.2">
      <c r="A81" s="32" t="s">
        <v>274</v>
      </c>
      <c r="B81">
        <f t="shared" ref="B81" si="226">B8-$AL$8</f>
        <v>3.9999999999984492E-5</v>
      </c>
      <c r="C81">
        <f t="shared" ref="C81:D81" si="227">C8-$AL$8</f>
        <v>9.9999999999988987E-5</v>
      </c>
      <c r="D81">
        <f t="shared" si="227"/>
        <v>1.9999999999992246E-5</v>
      </c>
      <c r="E81">
        <f t="shared" ref="E81:F81" si="228">E8-$AL$8</f>
        <v>3.9999999999984492E-5</v>
      </c>
      <c r="F81">
        <f t="shared" si="228"/>
        <v>0</v>
      </c>
      <c r="G81">
        <f t="shared" ref="G81:H81" si="229">G8-$AL$8</f>
        <v>0</v>
      </c>
      <c r="H81">
        <f t="shared" si="229"/>
        <v>3.0000000000002247E-5</v>
      </c>
      <c r="I81">
        <f t="shared" ref="I81:P81" si="230">I8-$AL$8</f>
        <v>4.9999999999994493E-5</v>
      </c>
      <c r="J81">
        <f t="shared" si="230"/>
        <v>7.999999999999674E-5</v>
      </c>
      <c r="K81">
        <f t="shared" si="230"/>
        <v>6.9999999999986739E-5</v>
      </c>
      <c r="L81">
        <f t="shared" si="230"/>
        <v>7.999999999999674E-5</v>
      </c>
      <c r="M81">
        <f t="shared" si="230"/>
        <v>6.0000000000004494E-5</v>
      </c>
      <c r="N81">
        <f t="shared" si="230"/>
        <v>6.0000000000004494E-5</v>
      </c>
      <c r="O81">
        <f t="shared" si="230"/>
        <v>4.9999999999994493E-5</v>
      </c>
      <c r="P81">
        <f t="shared" si="230"/>
        <v>-1.0000000000010001E-5</v>
      </c>
      <c r="Q81">
        <f>AG8-$AL$8</f>
        <v>1.9999999999992246E-5</v>
      </c>
      <c r="R81">
        <f>AH8-$AL$8</f>
        <v>4.9999999999994493E-5</v>
      </c>
      <c r="S81">
        <f>AI8-$AL$8</f>
        <v>1.9999999999992246E-5</v>
      </c>
      <c r="T81">
        <f>AJ8-$AL$8</f>
        <v>3.9999999999984492E-5</v>
      </c>
      <c r="U81">
        <f>AK8-$AL$8</f>
        <v>9.0000000000006741E-5</v>
      </c>
    </row>
    <row r="82" spans="1:21" x14ac:dyDescent="0.2">
      <c r="A82" s="32" t="s">
        <v>275</v>
      </c>
      <c r="B82">
        <f t="shared" ref="B82" si="231">B9-$AL$9</f>
        <v>-6.0000000000004494E-5</v>
      </c>
      <c r="C82">
        <f t="shared" ref="C82:D82" si="232">C9-$AL$9</f>
        <v>3.0000000000002247E-5</v>
      </c>
      <c r="D82">
        <f t="shared" si="232"/>
        <v>-1.9999999999992246E-5</v>
      </c>
      <c r="E82">
        <f t="shared" ref="E82:F82" si="233">E9-$AL$9</f>
        <v>-1.9999999999992246E-5</v>
      </c>
      <c r="F82">
        <f t="shared" si="233"/>
        <v>-4.9999999999994493E-5</v>
      </c>
      <c r="G82">
        <f t="shared" ref="G82:H82" si="234">G9-$AL$9</f>
        <v>0</v>
      </c>
      <c r="H82">
        <f t="shared" si="234"/>
        <v>-3.0000000000002247E-5</v>
      </c>
      <c r="I82">
        <f t="shared" ref="I82:P82" si="235">I9-$AL$9</f>
        <v>-1.9999999999992246E-5</v>
      </c>
      <c r="J82">
        <f t="shared" si="235"/>
        <v>-9.0000000000006741E-5</v>
      </c>
      <c r="K82">
        <f t="shared" si="235"/>
        <v>-4.9999999999994493E-5</v>
      </c>
      <c r="L82">
        <f t="shared" si="235"/>
        <v>-1.0000000000010001E-5</v>
      </c>
      <c r="M82">
        <f t="shared" si="235"/>
        <v>-3.0000000000002247E-5</v>
      </c>
      <c r="N82">
        <f t="shared" si="235"/>
        <v>1.9999999999992246E-5</v>
      </c>
      <c r="O82">
        <f t="shared" si="235"/>
        <v>-7.999999999999674E-5</v>
      </c>
      <c r="P82">
        <f t="shared" si="235"/>
        <v>1.0000000000010001E-5</v>
      </c>
      <c r="Q82">
        <f>AG9-$AL$9</f>
        <v>-4.9999999999994493E-5</v>
      </c>
      <c r="R82">
        <f>AH9-$AL$9</f>
        <v>-4.9999999999994493E-5</v>
      </c>
      <c r="S82">
        <f>AI9-$AL$9</f>
        <v>-1.0000000000010001E-5</v>
      </c>
      <c r="T82">
        <f>AJ9-$AL$9</f>
        <v>3.0000000000002247E-5</v>
      </c>
      <c r="U82">
        <f>AK9-$AL$9</f>
        <v>1.9999999999992246E-5</v>
      </c>
    </row>
    <row r="83" spans="1:21" x14ac:dyDescent="0.2">
      <c r="A83" s="32" t="s">
        <v>276</v>
      </c>
      <c r="B83">
        <f t="shared" ref="B83" si="236">B10-$AL$10</f>
        <v>4.0000000000012248E-5</v>
      </c>
      <c r="C83">
        <f t="shared" ref="C83:D83" si="237">C10-$AL$10</f>
        <v>4.0000000000012248E-5</v>
      </c>
      <c r="D83">
        <f t="shared" si="237"/>
        <v>6.0000000000004494E-5</v>
      </c>
      <c r="E83">
        <f t="shared" ref="E83:F83" si="238">E10-$AL$10</f>
        <v>1.0000000000010001E-5</v>
      </c>
      <c r="F83">
        <f t="shared" si="238"/>
        <v>-3.9999999999984492E-5</v>
      </c>
      <c r="G83">
        <f t="shared" ref="G83:H83" si="239">G10-$AL$10</f>
        <v>3.0000000000002247E-5</v>
      </c>
      <c r="H83">
        <f t="shared" si="239"/>
        <v>0</v>
      </c>
      <c r="I83">
        <f t="shared" ref="I83:P83" si="240">I10-$AL$10</f>
        <v>1.0000000000010001E-5</v>
      </c>
      <c r="J83">
        <f t="shared" si="240"/>
        <v>6.0000000000004494E-5</v>
      </c>
      <c r="K83">
        <f t="shared" si="240"/>
        <v>4.9999999999994493E-5</v>
      </c>
      <c r="L83">
        <f t="shared" si="240"/>
        <v>4.9999999999994493E-5</v>
      </c>
      <c r="M83">
        <f t="shared" si="240"/>
        <v>4.9999999999994493E-5</v>
      </c>
      <c r="N83">
        <f t="shared" si="240"/>
        <v>4.9999999999994493E-5</v>
      </c>
      <c r="O83">
        <f t="shared" si="240"/>
        <v>4.0000000000012248E-5</v>
      </c>
      <c r="P83">
        <f t="shared" si="240"/>
        <v>1.9999999999992246E-5</v>
      </c>
      <c r="Q83">
        <f>AG10-$AL$10</f>
        <v>3.0000000000002247E-5</v>
      </c>
      <c r="R83">
        <f>AH10-$AL$10</f>
        <v>9.0000000000006741E-5</v>
      </c>
      <c r="S83">
        <f>AI10-$AL$10</f>
        <v>7.999999999999674E-5</v>
      </c>
      <c r="T83">
        <f>AJ10-$AL$10</f>
        <v>4.0000000000012248E-5</v>
      </c>
      <c r="U83">
        <f>AK10-$AL$10</f>
        <v>3.0000000000002247E-5</v>
      </c>
    </row>
    <row r="84" spans="1:21" x14ac:dyDescent="0.2">
      <c r="A84" s="32" t="s">
        <v>277</v>
      </c>
      <c r="B84">
        <f t="shared" ref="B84" si="241">B11-$AL$11</f>
        <v>4.1000000000002146E-4</v>
      </c>
      <c r="C84">
        <f t="shared" ref="C84:D84" si="242">C11-$AL$11</f>
        <v>4.6000000000001595E-4</v>
      </c>
      <c r="D84">
        <f t="shared" si="242"/>
        <v>3.9000000000000146E-4</v>
      </c>
      <c r="E84">
        <f t="shared" ref="E84:F84" si="243">E11-$AL$11</f>
        <v>4.1000000000002146E-4</v>
      </c>
      <c r="F84">
        <f t="shared" si="243"/>
        <v>4.3999999999999595E-4</v>
      </c>
      <c r="G84">
        <f t="shared" ref="G84:H84" si="244">G11-$AL$11</f>
        <v>4.0000000000001146E-4</v>
      </c>
      <c r="H84">
        <f t="shared" si="244"/>
        <v>4.2999999999998595E-4</v>
      </c>
      <c r="I84">
        <f t="shared" ref="I84:P84" si="245">I11-$AL$11</f>
        <v>4.0000000000001146E-4</v>
      </c>
      <c r="J84">
        <f t="shared" si="245"/>
        <v>4.3999999999999595E-4</v>
      </c>
      <c r="K84">
        <f t="shared" si="245"/>
        <v>4.1999999999997595E-4</v>
      </c>
      <c r="L84">
        <f t="shared" si="245"/>
        <v>4.1999999999997595E-4</v>
      </c>
      <c r="M84">
        <f t="shared" si="245"/>
        <v>4.0000000000001146E-4</v>
      </c>
      <c r="N84">
        <f t="shared" si="245"/>
        <v>4.5000000000000595E-4</v>
      </c>
      <c r="O84">
        <f t="shared" si="245"/>
        <v>4.2999999999998595E-4</v>
      </c>
      <c r="P84">
        <f t="shared" si="245"/>
        <v>4.5000000000000595E-4</v>
      </c>
      <c r="Q84">
        <f>AG11-$AL$11</f>
        <v>3.7999999999999146E-4</v>
      </c>
      <c r="R84">
        <f>AH11-$AL$11</f>
        <v>4.3999999999999595E-4</v>
      </c>
      <c r="S84">
        <f>AI11-$AL$11</f>
        <v>3.7999999999999146E-4</v>
      </c>
      <c r="T84">
        <f>AJ11-$AL$11</f>
        <v>4.1999999999997595E-4</v>
      </c>
      <c r="U84">
        <f>AK11-$AL$11</f>
        <v>3.9000000000000146E-4</v>
      </c>
    </row>
    <row r="85" spans="1:21" x14ac:dyDescent="0.2">
      <c r="A85" s="32" t="s">
        <v>278</v>
      </c>
      <c r="B85">
        <f t="shared" ref="B85" si="246">B12-$AL$12</f>
        <v>-3.7000000000003697E-4</v>
      </c>
      <c r="C85">
        <f t="shared" ref="C85:D85" si="247">C12-$AL$12</f>
        <v>-3.9000000000000146E-4</v>
      </c>
      <c r="D85">
        <f t="shared" si="247"/>
        <v>-3.1999999999998696E-4</v>
      </c>
      <c r="E85">
        <f t="shared" ref="E85:F85" si="248">E12-$AL$12</f>
        <v>-3.9000000000000146E-4</v>
      </c>
      <c r="F85">
        <f t="shared" si="248"/>
        <v>-4.3000000000004146E-4</v>
      </c>
      <c r="G85">
        <f t="shared" ref="G85:H85" si="249">G12-$AL$12</f>
        <v>-3.7000000000003697E-4</v>
      </c>
      <c r="H85">
        <f t="shared" si="249"/>
        <v>-3.6000000000002697E-4</v>
      </c>
      <c r="I85">
        <f t="shared" ref="I85:P85" si="250">I12-$AL$12</f>
        <v>-3.5000000000001696E-4</v>
      </c>
      <c r="J85">
        <f t="shared" si="250"/>
        <v>-3.9000000000000146E-4</v>
      </c>
      <c r="K85">
        <f t="shared" si="250"/>
        <v>-3.9000000000000146E-4</v>
      </c>
      <c r="L85">
        <f t="shared" si="250"/>
        <v>-3.7000000000003697E-4</v>
      </c>
      <c r="M85">
        <f t="shared" si="250"/>
        <v>-3.1000000000003247E-4</v>
      </c>
      <c r="N85">
        <f t="shared" si="250"/>
        <v>-3.7999999999999146E-4</v>
      </c>
      <c r="O85">
        <f t="shared" si="250"/>
        <v>-3.6000000000002697E-4</v>
      </c>
      <c r="P85">
        <f t="shared" si="250"/>
        <v>-3.7000000000003697E-4</v>
      </c>
      <c r="Q85">
        <f>AG12-$AL$12</f>
        <v>-3.6000000000002697E-4</v>
      </c>
      <c r="R85">
        <f>AH12-$AL$12</f>
        <v>-3.9000000000000146E-4</v>
      </c>
      <c r="S85">
        <f>AI12-$AL$12</f>
        <v>-3.6000000000002697E-4</v>
      </c>
      <c r="T85">
        <f>AJ12-$AL$12</f>
        <v>-3.1000000000003247E-4</v>
      </c>
      <c r="U85">
        <f>AK12-$AL$12</f>
        <v>-3.4000000000000696E-4</v>
      </c>
    </row>
    <row r="86" spans="1:21" x14ac:dyDescent="0.2">
      <c r="A86" s="32" t="s">
        <v>279</v>
      </c>
      <c r="B86">
        <f t="shared" ref="B86" si="251">B13-$AL$13</f>
        <v>4.9999999999994493E-5</v>
      </c>
      <c r="C86">
        <f t="shared" ref="C86:D86" si="252">C13-$AL$13</f>
        <v>1.0999999999999899E-4</v>
      </c>
      <c r="D86">
        <f t="shared" si="252"/>
        <v>3.9999999999984492E-5</v>
      </c>
      <c r="E86">
        <f t="shared" ref="E86:F86" si="253">E13-$AL$13</f>
        <v>3.9999999999984492E-5</v>
      </c>
      <c r="F86">
        <f t="shared" si="253"/>
        <v>8.0000000000024496E-5</v>
      </c>
      <c r="G86">
        <f t="shared" ref="G86:H86" si="254">G13-$AL$13</f>
        <v>2.0000000000020002E-5</v>
      </c>
      <c r="H86">
        <f t="shared" si="254"/>
        <v>0</v>
      </c>
      <c r="I86">
        <f t="shared" ref="I86:P86" si="255">I13-$AL$13</f>
        <v>1.0000000000010001E-5</v>
      </c>
      <c r="J86">
        <f t="shared" si="255"/>
        <v>1.0000000000010001E-5</v>
      </c>
      <c r="K86">
        <f t="shared" si="255"/>
        <v>3.0000000000030003E-5</v>
      </c>
      <c r="L86">
        <f t="shared" si="255"/>
        <v>3.0000000000030003E-5</v>
      </c>
      <c r="M86">
        <f t="shared" si="255"/>
        <v>3.0000000000030003E-5</v>
      </c>
      <c r="N86">
        <f t="shared" si="255"/>
        <v>4.9999999999994493E-5</v>
      </c>
      <c r="O86">
        <f t="shared" si="255"/>
        <v>4.9999999999994493E-5</v>
      </c>
      <c r="P86">
        <f t="shared" si="255"/>
        <v>1.0000000000010001E-5</v>
      </c>
      <c r="Q86">
        <f>AG13-$AL$13</f>
        <v>-1.0000000000010001E-5</v>
      </c>
      <c r="R86">
        <f>AH13-$AL$13</f>
        <v>3.0000000000030003E-5</v>
      </c>
      <c r="S86">
        <f>AI13-$AL$13</f>
        <v>3.0000000000030003E-5</v>
      </c>
      <c r="T86">
        <f>AJ13-$AL$13</f>
        <v>1.0000000000010001E-5</v>
      </c>
      <c r="U86">
        <f>AK13-$AL$13</f>
        <v>4.9999999999994493E-5</v>
      </c>
    </row>
    <row r="87" spans="1:21" x14ac:dyDescent="0.2">
      <c r="A87" s="32" t="s">
        <v>280</v>
      </c>
      <c r="B87">
        <f t="shared" ref="B87" si="256">B14-$AL$14</f>
        <v>5.7999999999999718E-4</v>
      </c>
      <c r="C87">
        <f t="shared" ref="C87:D87" si="257">C14-$AL$14</f>
        <v>5.6000000000000494E-4</v>
      </c>
      <c r="D87">
        <f t="shared" si="257"/>
        <v>5.7000000000001494E-4</v>
      </c>
      <c r="E87">
        <f t="shared" ref="E87:F87" si="258">E14-$AL$14</f>
        <v>5.7000000000001494E-4</v>
      </c>
      <c r="F87">
        <f t="shared" si="258"/>
        <v>5.7999999999999718E-4</v>
      </c>
      <c r="G87">
        <f t="shared" ref="G87:H87" si="259">G14-$AL$14</f>
        <v>5.7000000000001494E-4</v>
      </c>
      <c r="H87">
        <f t="shared" si="259"/>
        <v>5.7000000000001494E-4</v>
      </c>
      <c r="I87">
        <f t="shared" ref="I87:P87" si="260">I14-$AL$14</f>
        <v>6.0000000000001719E-4</v>
      </c>
      <c r="J87">
        <f t="shared" si="260"/>
        <v>5.7000000000001494E-4</v>
      </c>
      <c r="K87">
        <f t="shared" si="260"/>
        <v>5.4000000000001269E-4</v>
      </c>
      <c r="L87">
        <f t="shared" si="260"/>
        <v>5.4000000000001269E-4</v>
      </c>
      <c r="M87">
        <f t="shared" si="260"/>
        <v>5.1999999999999269E-4</v>
      </c>
      <c r="N87">
        <f t="shared" si="260"/>
        <v>5.4999999999999494E-4</v>
      </c>
      <c r="O87">
        <f t="shared" si="260"/>
        <v>5.3000000000000269E-4</v>
      </c>
      <c r="P87">
        <f t="shared" si="260"/>
        <v>5.1999999999999269E-4</v>
      </c>
      <c r="Q87">
        <f>AG14-$AL$14</f>
        <v>3.9000000000000146E-4</v>
      </c>
      <c r="R87">
        <f>AH14-$AL$14</f>
        <v>2.0000000000000573E-4</v>
      </c>
      <c r="S87">
        <f>AI14-$AL$14</f>
        <v>1.3000000000001899E-4</v>
      </c>
      <c r="T87">
        <f>AJ14-$AL$14</f>
        <v>1.5999999999999348E-4</v>
      </c>
      <c r="U87">
        <f>AK14-$AL$14</f>
        <v>4.9999999999994493E-5</v>
      </c>
    </row>
    <row r="88" spans="1:21" x14ac:dyDescent="0.2">
      <c r="A88" s="32" t="s">
        <v>282</v>
      </c>
      <c r="B88">
        <f t="shared" ref="B88" si="261">B15-$AL$15</f>
        <v>0</v>
      </c>
      <c r="C88">
        <f t="shared" ref="C88:D88" si="262">C15-$AL$15</f>
        <v>3.9999999999984492E-5</v>
      </c>
      <c r="D88">
        <f t="shared" si="262"/>
        <v>0</v>
      </c>
      <c r="E88">
        <f t="shared" ref="E88:F88" si="263">E15-$AL$15</f>
        <v>0</v>
      </c>
      <c r="F88">
        <f t="shared" si="263"/>
        <v>-7.999999999999674E-5</v>
      </c>
      <c r="G88">
        <f t="shared" ref="G88:H88" si="264">G15-$AL$15</f>
        <v>-2.0000000000020002E-5</v>
      </c>
      <c r="H88">
        <f t="shared" si="264"/>
        <v>-1.0000000000010001E-5</v>
      </c>
      <c r="I88">
        <f t="shared" ref="I88:P88" si="265">I15-$AL$15</f>
        <v>-3.0000000000002247E-5</v>
      </c>
      <c r="J88">
        <f t="shared" si="265"/>
        <v>-1.0000000000001674E-4</v>
      </c>
      <c r="K88">
        <f t="shared" si="265"/>
        <v>-2.0000000000020002E-5</v>
      </c>
      <c r="L88">
        <f t="shared" si="265"/>
        <v>-1.0000000000010001E-5</v>
      </c>
      <c r="M88">
        <f t="shared" si="265"/>
        <v>0</v>
      </c>
      <c r="N88">
        <f t="shared" si="265"/>
        <v>-4.9999999999994493E-5</v>
      </c>
      <c r="O88">
        <f t="shared" si="265"/>
        <v>0</v>
      </c>
      <c r="P88">
        <f t="shared" si="265"/>
        <v>-4.9999999999994493E-5</v>
      </c>
      <c r="Q88">
        <f>AG15-$AL$15</f>
        <v>-2.9999999999999472E-4</v>
      </c>
      <c r="R88">
        <f>AH15-$AL$15</f>
        <v>-9.0000000000006741E-5</v>
      </c>
      <c r="S88">
        <f>AI15-$AL$15</f>
        <v>-1.3000000000001899E-4</v>
      </c>
      <c r="T88">
        <f>AJ15-$AL$15</f>
        <v>-9.0000000000006741E-5</v>
      </c>
      <c r="U88">
        <f>AK15-$AL$15</f>
        <v>-2.0000000000020002E-5</v>
      </c>
    </row>
    <row r="89" spans="1:21" x14ac:dyDescent="0.2">
      <c r="A89" s="32" t="s">
        <v>283</v>
      </c>
      <c r="B89">
        <f t="shared" ref="B89" si="266">B16-$AL$16</f>
        <v>-4.900000000000182E-4</v>
      </c>
      <c r="C89">
        <f t="shared" ref="C89:D89" si="267">C16-$AL$16</f>
        <v>-4.1000000000002146E-4</v>
      </c>
      <c r="D89">
        <f t="shared" si="267"/>
        <v>-4.300000000000137E-4</v>
      </c>
      <c r="E89">
        <f t="shared" ref="E89:F89" si="268">E16-$AL$16</f>
        <v>-4.5000000000000595E-4</v>
      </c>
      <c r="F89">
        <f t="shared" si="268"/>
        <v>-4.5000000000000595E-4</v>
      </c>
      <c r="G89">
        <f t="shared" ref="G89:H89" si="269">G16-$AL$16</f>
        <v>-4.800000000000082E-4</v>
      </c>
      <c r="H89">
        <f t="shared" si="269"/>
        <v>-5.0000000000000044E-4</v>
      </c>
      <c r="I89">
        <f t="shared" ref="I89:P89" si="270">I16-$AL$16</f>
        <v>-4.6000000000001595E-4</v>
      </c>
      <c r="J89">
        <f t="shared" si="270"/>
        <v>-3.5999999999999921E-4</v>
      </c>
      <c r="K89">
        <f t="shared" si="270"/>
        <v>-3.7000000000000921E-4</v>
      </c>
      <c r="L89">
        <f t="shared" si="270"/>
        <v>-3.2999999999999696E-4</v>
      </c>
      <c r="M89">
        <f t="shared" si="270"/>
        <v>-3.2000000000001472E-4</v>
      </c>
      <c r="N89">
        <f t="shared" si="270"/>
        <v>-3.0000000000002247E-4</v>
      </c>
      <c r="O89">
        <f t="shared" si="270"/>
        <v>-3.2999999999999696E-4</v>
      </c>
      <c r="P89">
        <f t="shared" si="270"/>
        <v>-3.2000000000001472E-4</v>
      </c>
      <c r="Q89">
        <f>AG16-$AL$16</f>
        <v>8.9999999999978986E-5</v>
      </c>
      <c r="R89">
        <f>AH16-$AL$16</f>
        <v>2.2999999999998022E-4</v>
      </c>
      <c r="S89">
        <f>AI16-$AL$16</f>
        <v>1.0999999999999899E-4</v>
      </c>
      <c r="T89">
        <f>AJ16-$AL$16</f>
        <v>1.4000000000000123E-4</v>
      </c>
      <c r="U89">
        <f>AK16-$AL$16</f>
        <v>7.999999999999674E-5</v>
      </c>
    </row>
    <row r="90" spans="1:21" x14ac:dyDescent="0.2">
      <c r="A90" s="32" t="s">
        <v>284</v>
      </c>
      <c r="B90">
        <f t="shared" ref="B90" si="271">B17-$AL$17</f>
        <v>1.4999999999998348E-4</v>
      </c>
      <c r="C90">
        <f t="shared" ref="C90:D90" si="272">C17-$AL$17</f>
        <v>1.8999999999999573E-4</v>
      </c>
      <c r="D90">
        <f t="shared" si="272"/>
        <v>1.0999999999999899E-4</v>
      </c>
      <c r="E90">
        <f t="shared" ref="E90:F90" si="273">E17-$AL$17</f>
        <v>1.0999999999999899E-4</v>
      </c>
      <c r="F90">
        <f t="shared" si="273"/>
        <v>7.999999999999674E-5</v>
      </c>
      <c r="G90">
        <f t="shared" ref="G90:H90" si="274">G17-$AL$17</f>
        <v>8.9999999999978986E-5</v>
      </c>
      <c r="H90">
        <f t="shared" si="274"/>
        <v>7.999999999999674E-5</v>
      </c>
      <c r="I90">
        <f t="shared" ref="I90:P90" si="275">I17-$AL$17</f>
        <v>9.9999999999988987E-5</v>
      </c>
      <c r="J90">
        <f t="shared" si="275"/>
        <v>4.9999999999994493E-5</v>
      </c>
      <c r="K90">
        <f t="shared" si="275"/>
        <v>1.1999999999998123E-4</v>
      </c>
      <c r="L90">
        <f t="shared" si="275"/>
        <v>1.2999999999999123E-4</v>
      </c>
      <c r="M90">
        <f t="shared" si="275"/>
        <v>1.4000000000000123E-4</v>
      </c>
      <c r="N90">
        <f t="shared" si="275"/>
        <v>1.4000000000000123E-4</v>
      </c>
      <c r="O90">
        <f t="shared" si="275"/>
        <v>1.0999999999999899E-4</v>
      </c>
      <c r="P90">
        <f t="shared" si="275"/>
        <v>9.9999999999988987E-5</v>
      </c>
      <c r="Q90">
        <f>AG17-$AL$17</f>
        <v>-4.9999999999994493E-5</v>
      </c>
      <c r="R90">
        <f>AH17-$AL$17</f>
        <v>-1.4000000000000123E-4</v>
      </c>
      <c r="S90">
        <f>AI17-$AL$17</f>
        <v>-6.0000000000004494E-5</v>
      </c>
      <c r="T90">
        <f>AJ17-$AL$17</f>
        <v>-9.0000000000006741E-5</v>
      </c>
      <c r="U90">
        <f>AK17-$AL$17</f>
        <v>6.0000000000004494E-5</v>
      </c>
    </row>
    <row r="91" spans="1:21" x14ac:dyDescent="0.2">
      <c r="A91" s="32" t="s">
        <v>285</v>
      </c>
      <c r="B91">
        <f t="shared" ref="B91" si="276">B18-$AL$18</f>
        <v>-1.7999999999998573E-4</v>
      </c>
      <c r="C91">
        <f t="shared" ref="C91:D91" si="277">C18-$AL$18</f>
        <v>-9.9999999999988987E-5</v>
      </c>
      <c r="D91">
        <f t="shared" si="277"/>
        <v>-1.1999999999998123E-4</v>
      </c>
      <c r="E91">
        <f t="shared" ref="E91:F91" si="278">E18-$AL$18</f>
        <v>-1.3999999999997348E-4</v>
      </c>
      <c r="F91">
        <f t="shared" si="278"/>
        <v>-1.4999999999998348E-4</v>
      </c>
      <c r="G91">
        <f t="shared" ref="G91:H91" si="279">G18-$AL$18</f>
        <v>-1.2999999999999123E-4</v>
      </c>
      <c r="H91">
        <f t="shared" si="279"/>
        <v>-1.7999999999998573E-4</v>
      </c>
      <c r="I91">
        <f t="shared" ref="I91:P91" si="280">I18-$AL$18</f>
        <v>-1.5999999999999348E-4</v>
      </c>
      <c r="J91">
        <f t="shared" si="280"/>
        <v>-1.1999999999998123E-4</v>
      </c>
      <c r="K91">
        <f t="shared" si="280"/>
        <v>-2.0999999999998797E-4</v>
      </c>
      <c r="L91">
        <f t="shared" si="280"/>
        <v>-1.7999999999998573E-4</v>
      </c>
      <c r="M91">
        <f t="shared" si="280"/>
        <v>-1.5999999999999348E-4</v>
      </c>
      <c r="N91">
        <f t="shared" si="280"/>
        <v>-1.9999999999997797E-4</v>
      </c>
      <c r="O91">
        <f t="shared" si="280"/>
        <v>-1.0999999999999899E-4</v>
      </c>
      <c r="P91">
        <f t="shared" si="280"/>
        <v>-2.1999999999999797E-4</v>
      </c>
      <c r="Q91">
        <f>AG18-$AL$18</f>
        <v>-1.9999999999992246E-5</v>
      </c>
      <c r="R91">
        <f>AH18-$AL$18</f>
        <v>8.0000000000024496E-5</v>
      </c>
      <c r="S91">
        <f>AI18-$AL$18</f>
        <v>-5.9999999999976739E-5</v>
      </c>
      <c r="T91">
        <f>AJ18-$AL$18</f>
        <v>5.0000000000022249E-5</v>
      </c>
      <c r="U91">
        <f>AK18-$AL$18</f>
        <v>6.0000000000004494E-5</v>
      </c>
    </row>
    <row r="92" spans="1:21" x14ac:dyDescent="0.2">
      <c r="A92" s="32" t="s">
        <v>286</v>
      </c>
      <c r="B92">
        <f t="shared" ref="B92" si="281">B19-$AL$19</f>
        <v>9.3000000000001415E-4</v>
      </c>
      <c r="C92">
        <f t="shared" ref="C92:D92" si="282">C19-$AL$19</f>
        <v>9.8000000000000864E-4</v>
      </c>
      <c r="D92">
        <f t="shared" si="282"/>
        <v>9.6999999999999864E-4</v>
      </c>
      <c r="E92">
        <f t="shared" ref="E92:F92" si="283">E19-$AL$19</f>
        <v>9.3000000000001415E-4</v>
      </c>
      <c r="F92">
        <f t="shared" si="283"/>
        <v>9.5000000000000639E-4</v>
      </c>
      <c r="G92">
        <f t="shared" ref="G92:H92" si="284">G19-$AL$19</f>
        <v>9.100000000000219E-4</v>
      </c>
      <c r="H92">
        <f t="shared" si="284"/>
        <v>9.2000000000000415E-4</v>
      </c>
      <c r="I92">
        <f t="shared" ref="I92:P92" si="285">I19-$AL$19</f>
        <v>9.000000000000119E-4</v>
      </c>
      <c r="J92">
        <f t="shared" si="285"/>
        <v>8.7000000000000965E-4</v>
      </c>
      <c r="K92">
        <f t="shared" si="285"/>
        <v>9.9000000000001864E-4</v>
      </c>
      <c r="L92">
        <f t="shared" si="285"/>
        <v>1.0100000000000109E-3</v>
      </c>
      <c r="M92">
        <f t="shared" si="285"/>
        <v>1.0000000000000009E-3</v>
      </c>
      <c r="N92">
        <f t="shared" si="285"/>
        <v>1.0499999999999954E-3</v>
      </c>
      <c r="O92">
        <f t="shared" si="285"/>
        <v>9.8000000000000864E-4</v>
      </c>
      <c r="P92">
        <f t="shared" si="285"/>
        <v>1.0000000000000009E-3</v>
      </c>
      <c r="Q92">
        <f>AG19-$AL$19</f>
        <v>1.0000000000010001E-5</v>
      </c>
      <c r="R92">
        <f>AH19-$AL$19</f>
        <v>9.0000000000006741E-5</v>
      </c>
      <c r="S92">
        <f>AI19-$AL$19</f>
        <v>0</v>
      </c>
      <c r="T92">
        <f>AJ19-$AL$19</f>
        <v>6.0000000000004494E-5</v>
      </c>
      <c r="U92">
        <f>AK19-$AL$19</f>
        <v>7.999999999999674E-5</v>
      </c>
    </row>
    <row r="93" spans="1:21" x14ac:dyDescent="0.2">
      <c r="A93" s="32" t="s">
        <v>287</v>
      </c>
      <c r="B93">
        <f t="shared" ref="B93" si="286">B20-$AL$20</f>
        <v>-1.0000000000000009E-3</v>
      </c>
      <c r="C93">
        <f t="shared" ref="C93:D93" si="287">C20-$AL$20</f>
        <v>-9.5999999999998864E-4</v>
      </c>
      <c r="D93">
        <f t="shared" si="287"/>
        <v>-9.5999999999998864E-4</v>
      </c>
      <c r="E93">
        <f t="shared" ref="E93:F93" si="288">E20-$AL$20</f>
        <v>-9.4999999999997864E-4</v>
      </c>
      <c r="F93">
        <f t="shared" si="288"/>
        <v>-1.0099999999999831E-3</v>
      </c>
      <c r="G93">
        <f t="shared" ref="G93:H93" si="289">G20-$AL$20</f>
        <v>-9.7999999999998089E-4</v>
      </c>
      <c r="H93">
        <f t="shared" si="289"/>
        <v>-9.8999999999999089E-4</v>
      </c>
      <c r="I93">
        <f t="shared" ref="I93:P93" si="290">I20-$AL$20</f>
        <v>-9.3999999999999639E-4</v>
      </c>
      <c r="J93">
        <f t="shared" si="290"/>
        <v>-9.4999999999997864E-4</v>
      </c>
      <c r="K93">
        <f t="shared" si="290"/>
        <v>-9.8999999999999089E-4</v>
      </c>
      <c r="L93">
        <f t="shared" si="290"/>
        <v>-9.2999999999998639E-4</v>
      </c>
      <c r="M93">
        <f t="shared" si="290"/>
        <v>-8.699999999999819E-4</v>
      </c>
      <c r="N93">
        <f t="shared" si="290"/>
        <v>-9.0999999999999415E-4</v>
      </c>
      <c r="O93">
        <f t="shared" si="290"/>
        <v>-8.900000000000019E-4</v>
      </c>
      <c r="P93">
        <f t="shared" si="290"/>
        <v>-8.699999999999819E-4</v>
      </c>
      <c r="Q93">
        <f>AG20-$AL$20</f>
        <v>2.0000000000020002E-5</v>
      </c>
      <c r="R93">
        <f>AH20-$AL$20</f>
        <v>5.0000000000022249E-5</v>
      </c>
      <c r="S93">
        <f>AI20-$AL$20</f>
        <v>4.0000000000012248E-5</v>
      </c>
      <c r="T93">
        <f>AJ20-$AL$20</f>
        <v>0</v>
      </c>
      <c r="U93">
        <f>AK20-$AL$20</f>
        <v>1.0000000000001674E-4</v>
      </c>
    </row>
    <row r="94" spans="1:21" x14ac:dyDescent="0.2">
      <c r="A94" s="32" t="s">
        <v>288</v>
      </c>
      <c r="B94">
        <f t="shared" ref="B94" si="291">B21-$AL$21</f>
        <v>-4.0000000000012248E-5</v>
      </c>
      <c r="C94">
        <f t="shared" ref="C94:D94" si="292">C21-$AL$21</f>
        <v>1.4000000000000123E-4</v>
      </c>
      <c r="D94">
        <f t="shared" si="292"/>
        <v>3.9999999999984492E-5</v>
      </c>
      <c r="E94">
        <f t="shared" ref="E94:F94" si="293">E21-$AL$21</f>
        <v>-3.0000000000002247E-5</v>
      </c>
      <c r="F94">
        <f t="shared" si="293"/>
        <v>-3.0000000000002247E-5</v>
      </c>
      <c r="G94">
        <f t="shared" ref="G94:H94" si="294">G21-$AL$21</f>
        <v>-1.0000000000010001E-5</v>
      </c>
      <c r="H94">
        <f t="shared" si="294"/>
        <v>-1.0000000000010001E-5</v>
      </c>
      <c r="I94">
        <f t="shared" ref="I94:P94" si="295">I21-$AL$21</f>
        <v>0</v>
      </c>
      <c r="J94">
        <f t="shared" si="295"/>
        <v>1.9999999999992246E-5</v>
      </c>
      <c r="K94">
        <f t="shared" si="295"/>
        <v>2.9999999999974492E-5</v>
      </c>
      <c r="L94">
        <f t="shared" si="295"/>
        <v>2.9999999999974492E-5</v>
      </c>
      <c r="M94">
        <f t="shared" si="295"/>
        <v>0</v>
      </c>
      <c r="N94">
        <f t="shared" si="295"/>
        <v>6.9999999999986739E-5</v>
      </c>
      <c r="O94">
        <f t="shared" si="295"/>
        <v>-3.0000000000002247E-5</v>
      </c>
      <c r="P94">
        <f t="shared" si="295"/>
        <v>9.9999999999822453E-6</v>
      </c>
      <c r="Q94">
        <f>AG21-$AL$21</f>
        <v>4.9999999999994493E-5</v>
      </c>
      <c r="R94">
        <f>AH21-$AL$21</f>
        <v>4.9999999999994493E-5</v>
      </c>
      <c r="S94">
        <f>AI21-$AL$21</f>
        <v>0</v>
      </c>
      <c r="T94">
        <f>AJ21-$AL$21</f>
        <v>1.6999999999997573E-4</v>
      </c>
      <c r="U94">
        <f>AK21-$AL$21</f>
        <v>5.9999999999976739E-5</v>
      </c>
    </row>
    <row r="95" spans="1:21" x14ac:dyDescent="0.2">
      <c r="A95" s="32" t="s">
        <v>289</v>
      </c>
      <c r="B95">
        <f t="shared" ref="B95" si="296">B22-$AL$22</f>
        <v>9.0000000000006741E-5</v>
      </c>
      <c r="C95">
        <f t="shared" ref="C95:D95" si="297">C22-$AL$22</f>
        <v>1.8000000000001348E-4</v>
      </c>
      <c r="D95">
        <f t="shared" si="297"/>
        <v>1.0000000000001674E-4</v>
      </c>
      <c r="E95">
        <f t="shared" ref="E95:F95" si="298">E22-$AL$22</f>
        <v>8.0000000000024496E-5</v>
      </c>
      <c r="F95">
        <f t="shared" si="298"/>
        <v>6.0000000000004494E-5</v>
      </c>
      <c r="G95">
        <f t="shared" ref="G95:H95" si="299">G22-$AL$22</f>
        <v>0</v>
      </c>
      <c r="H95">
        <f t="shared" si="299"/>
        <v>5.0000000000022249E-5</v>
      </c>
      <c r="I95">
        <f t="shared" ref="I95:P95" si="300">I22-$AL$22</f>
        <v>3.0000000000002247E-5</v>
      </c>
      <c r="J95">
        <f t="shared" si="300"/>
        <v>1.0000000000010001E-5</v>
      </c>
      <c r="K95">
        <f t="shared" si="300"/>
        <v>5.0000000000022249E-5</v>
      </c>
      <c r="L95">
        <f t="shared" si="300"/>
        <v>1.1000000000002674E-4</v>
      </c>
      <c r="M95">
        <f t="shared" si="300"/>
        <v>1.4000000000000123E-4</v>
      </c>
      <c r="N95">
        <f t="shared" si="300"/>
        <v>1.5000000000001124E-4</v>
      </c>
      <c r="O95">
        <f t="shared" si="300"/>
        <v>1.8000000000001348E-4</v>
      </c>
      <c r="P95">
        <f t="shared" si="300"/>
        <v>8.0000000000024496E-5</v>
      </c>
      <c r="Q95">
        <f>AG22-$AL$22</f>
        <v>8.0000000000024496E-5</v>
      </c>
      <c r="R95">
        <f>AH22-$AL$22</f>
        <v>1.3000000000001899E-4</v>
      </c>
      <c r="S95">
        <f>AI22-$AL$22</f>
        <v>3.0000000000002247E-5</v>
      </c>
      <c r="T95">
        <f>AJ22-$AL$22</f>
        <v>1.2000000000000899E-4</v>
      </c>
      <c r="U95">
        <f>AK22-$AL$22</f>
        <v>1.2000000000000899E-4</v>
      </c>
    </row>
  </sheetData>
  <conditionalFormatting sqref="I52:P71">
    <cfRule type="cellIs" dxfId="53" priority="21" operator="lessThanOrEqual">
      <formula>-0.0001</formula>
    </cfRule>
    <cfRule type="cellIs" dxfId="52" priority="22" operator="greaterThanOrEqual">
      <formula>0.0001</formula>
    </cfRule>
  </conditionalFormatting>
  <conditionalFormatting sqref="I76:I105 J76:U95">
    <cfRule type="cellIs" dxfId="51" priority="17" operator="lessThanOrEqual">
      <formula>-0.0001</formula>
    </cfRule>
    <cfRule type="cellIs" dxfId="50" priority="18" operator="greaterThanOrEqual">
      <formula>0.0001</formula>
    </cfRule>
  </conditionalFormatting>
  <conditionalFormatting sqref="T53:Z71">
    <cfRule type="cellIs" dxfId="49" priority="15" operator="lessThanOrEqual">
      <formula>-0.0001</formula>
    </cfRule>
    <cfRule type="cellIs" dxfId="48" priority="16" operator="greaterThanOrEqual">
      <formula>0.0001</formula>
    </cfRule>
  </conditionalFormatting>
  <conditionalFormatting sqref="I28:R47">
    <cfRule type="cellIs" dxfId="47" priority="13" operator="lessThanOrEqual">
      <formula>-0.0001</formula>
    </cfRule>
    <cfRule type="cellIs" dxfId="46" priority="14" operator="greaterThanOrEqual">
      <formula>0.0001</formula>
    </cfRule>
  </conditionalFormatting>
  <conditionalFormatting sqref="S28:S47">
    <cfRule type="cellIs" dxfId="45" priority="11" operator="lessThanOrEqual">
      <formula>-0.0001</formula>
    </cfRule>
    <cfRule type="cellIs" dxfId="44" priority="12" operator="greaterThanOrEqual">
      <formula>0.0001</formula>
    </cfRule>
  </conditionalFormatting>
  <conditionalFormatting sqref="Q52:R71">
    <cfRule type="cellIs" dxfId="43" priority="9" operator="lessThanOrEqual">
      <formula>-0.0001</formula>
    </cfRule>
    <cfRule type="cellIs" dxfId="42" priority="10" operator="greaterThanOrEqual">
      <formula>0.0001</formula>
    </cfRule>
  </conditionalFormatting>
  <conditionalFormatting sqref="S52:S71">
    <cfRule type="cellIs" dxfId="41" priority="7" operator="lessThanOrEqual">
      <formula>-0.0001</formula>
    </cfRule>
    <cfRule type="cellIs" dxfId="40" priority="8" operator="greaterThanOrEqual">
      <formula>0.0001</formula>
    </cfRule>
  </conditionalFormatting>
  <conditionalFormatting sqref="B28:H47">
    <cfRule type="cellIs" dxfId="39" priority="5" operator="lessThanOrEqual">
      <formula>-0.0001</formula>
    </cfRule>
    <cfRule type="cellIs" dxfId="38" priority="6" operator="greaterThanOrEqual">
      <formula>0.0001</formula>
    </cfRule>
  </conditionalFormatting>
  <conditionalFormatting sqref="B52:H71">
    <cfRule type="cellIs" dxfId="37" priority="3" operator="lessThanOrEqual">
      <formula>-0.0001</formula>
    </cfRule>
    <cfRule type="cellIs" dxfId="36" priority="4" operator="greaterThanOrEqual">
      <formula>0.0001</formula>
    </cfRule>
  </conditionalFormatting>
  <conditionalFormatting sqref="B76:H95">
    <cfRule type="cellIs" dxfId="35" priority="1" operator="lessThanOrEqual">
      <formula>-0.0001</formula>
    </cfRule>
    <cfRule type="cellIs" dxfId="34" priority="2" operator="greaterThanOrEqual">
      <formula>0.0001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21-5D87-4383-96D3-ED2F030B9712}">
  <sheetPr codeName="Sheet14"/>
  <dimension ref="A1:AQ46"/>
  <sheetViews>
    <sheetView zoomScale="70" zoomScaleNormal="70" workbookViewId="0">
      <selection activeCell="A24" sqref="A24"/>
    </sheetView>
  </sheetViews>
  <sheetFormatPr defaultRowHeight="15" x14ac:dyDescent="0.2"/>
  <cols>
    <col min="1" max="1" width="7.44140625" customWidth="1"/>
    <col min="2" max="2" width="11.21875" bestFit="1" customWidth="1"/>
    <col min="3" max="4" width="9.88671875" bestFit="1" customWidth="1"/>
    <col min="5" max="5" width="12" bestFit="1" customWidth="1"/>
    <col min="6" max="7" width="11.88671875" bestFit="1" customWidth="1"/>
    <col min="8" max="8" width="10.77734375" customWidth="1"/>
    <col min="9" max="40" width="10.6640625" customWidth="1"/>
  </cols>
  <sheetData>
    <row r="1" spans="1:40" x14ac:dyDescent="0.2">
      <c r="B1" t="s">
        <v>427</v>
      </c>
      <c r="C1" t="s">
        <v>420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3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3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3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3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3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3" ht="15.75" thickBot="1" x14ac:dyDescent="0.25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3" ht="16.5" thickBot="1" x14ac:dyDescent="0.3">
      <c r="A23" s="125" t="s">
        <v>390</v>
      </c>
      <c r="B23" s="126">
        <f t="shared" ref="B23:I23" si="0">SUM(B3:B22)</f>
        <v>3.8031000000000001</v>
      </c>
      <c r="C23" s="126">
        <f t="shared" si="0"/>
        <v>3.8039199999999993</v>
      </c>
      <c r="D23" s="126">
        <f t="shared" si="0"/>
        <v>3.8034500000000002</v>
      </c>
      <c r="E23" s="126">
        <f t="shared" si="0"/>
        <v>3.8031100000000002</v>
      </c>
      <c r="F23" s="126">
        <f t="shared" si="0"/>
        <v>3.8028500000000003</v>
      </c>
      <c r="G23" s="126">
        <f t="shared" si="0"/>
        <v>3.8030100000000009</v>
      </c>
      <c r="H23" s="126">
        <f t="shared" si="0"/>
        <v>3.8029300000000004</v>
      </c>
      <c r="I23" s="126">
        <f t="shared" si="0"/>
        <v>3.8030199999999992</v>
      </c>
      <c r="J23" s="126">
        <f t="shared" ref="J23:AN23" si="1">SUM(J3:J22)</f>
        <v>3.80294</v>
      </c>
      <c r="K23" s="126">
        <f t="shared" si="1"/>
        <v>3.8032000000000008</v>
      </c>
      <c r="L23" s="126">
        <f t="shared" si="1"/>
        <v>3.8035400000000004</v>
      </c>
      <c r="M23" s="126">
        <f t="shared" si="1"/>
        <v>3.8036099999999995</v>
      </c>
      <c r="N23" s="126">
        <f t="shared" si="1"/>
        <v>3.8036500000000002</v>
      </c>
      <c r="O23" s="126">
        <f t="shared" si="1"/>
        <v>3.8035899999999994</v>
      </c>
      <c r="P23" s="126">
        <f t="shared" si="1"/>
        <v>3.8033199999999998</v>
      </c>
      <c r="Q23" s="126">
        <f t="shared" si="1"/>
        <v>3.8031999999999999</v>
      </c>
      <c r="R23" s="126">
        <f t="shared" si="1"/>
        <v>3.8029299999999999</v>
      </c>
      <c r="S23" s="126">
        <f t="shared" si="1"/>
        <v>3.8032800000000004</v>
      </c>
      <c r="T23" s="126">
        <f t="shared" si="1"/>
        <v>3.8029600000000001</v>
      </c>
      <c r="U23" s="126">
        <f t="shared" si="1"/>
        <v>3.8037000000000005</v>
      </c>
      <c r="V23" s="126">
        <f t="shared" si="1"/>
        <v>3.8038399999999997</v>
      </c>
      <c r="W23" s="126">
        <f t="shared" si="1"/>
        <v>3.8036899999999996</v>
      </c>
      <c r="X23" s="126">
        <f t="shared" si="1"/>
        <v>3.8036900000000005</v>
      </c>
      <c r="Y23" s="126">
        <f t="shared" si="1"/>
        <v>3.8032100000000004</v>
      </c>
      <c r="Z23" s="126">
        <f t="shared" si="1"/>
        <v>3.8030200000000001</v>
      </c>
      <c r="AA23" s="126">
        <f t="shared" si="1"/>
        <v>3.80301</v>
      </c>
      <c r="AB23" s="126">
        <f t="shared" si="1"/>
        <v>3.8033800000000006</v>
      </c>
      <c r="AC23" s="126">
        <f t="shared" si="1"/>
        <v>3.8035799999999997</v>
      </c>
      <c r="AD23" s="126">
        <f t="shared" si="1"/>
        <v>3.8037500000000004</v>
      </c>
      <c r="AE23" s="126">
        <f t="shared" si="1"/>
        <v>3.8038000000000003</v>
      </c>
      <c r="AF23" s="126">
        <f t="shared" si="1"/>
        <v>3.8037500000000009</v>
      </c>
      <c r="AG23" s="126">
        <f t="shared" si="1"/>
        <v>3.8031700000000002</v>
      </c>
      <c r="AH23" s="126">
        <f t="shared" si="1"/>
        <v>3.8037800000000006</v>
      </c>
      <c r="AI23" s="126">
        <f t="shared" si="1"/>
        <v>3.80314</v>
      </c>
      <c r="AJ23" s="126">
        <f t="shared" si="1"/>
        <v>3.8036999999999996</v>
      </c>
      <c r="AK23" s="126">
        <f t="shared" si="1"/>
        <v>3.8038900000000009</v>
      </c>
      <c r="AL23" s="126">
        <f t="shared" si="1"/>
        <v>3.8029499999999996</v>
      </c>
      <c r="AM23" s="126">
        <f t="shared" si="1"/>
        <v>3.8029900000000008</v>
      </c>
      <c r="AN23" s="127">
        <f t="shared" si="1"/>
        <v>3.8039099999999997</v>
      </c>
    </row>
    <row r="24" spans="1:43" x14ac:dyDescent="0.2">
      <c r="A24" s="139"/>
      <c r="B24" s="15"/>
      <c r="C24" s="15">
        <f>C23-W23</f>
        <v>2.2999999999973042E-4</v>
      </c>
      <c r="D24" s="32"/>
      <c r="E24" s="15">
        <f>E23-Q23</f>
        <v>-8.999999999970143E-5</v>
      </c>
      <c r="F24" s="15">
        <f>F23-R23</f>
        <v>-7.9999999999635918E-5</v>
      </c>
      <c r="G24" s="15">
        <f>G23-S23</f>
        <v>-2.6999999999954838E-4</v>
      </c>
      <c r="H24" s="14">
        <f>H23-S23</f>
        <v>-3.5000000000007248E-4</v>
      </c>
      <c r="J24">
        <f>I23-J23</f>
        <v>7.9999999999191829E-5</v>
      </c>
      <c r="K24">
        <f>K23-T23</f>
        <v>2.4000000000068411E-4</v>
      </c>
      <c r="M24">
        <f>M23-U23</f>
        <v>-9.0000000001033698E-5</v>
      </c>
      <c r="N24">
        <f>N23-V23</f>
        <v>-1.8999999999946837E-4</v>
      </c>
    </row>
    <row r="25" spans="1:43" ht="16.5" thickBot="1" x14ac:dyDescent="0.3">
      <c r="A25" s="32" t="s">
        <v>342</v>
      </c>
      <c r="B25" s="32"/>
      <c r="C25" s="32"/>
      <c r="D25" s="32"/>
      <c r="E25" s="32"/>
      <c r="F25" s="32"/>
      <c r="G25" s="32"/>
      <c r="H25" s="32"/>
      <c r="AH25" s="32"/>
    </row>
    <row r="26" spans="1:43" ht="15.75" x14ac:dyDescent="0.2">
      <c r="A26" t="s">
        <v>269</v>
      </c>
      <c r="B26" s="116" t="s">
        <v>428</v>
      </c>
      <c r="C26" s="116" t="s">
        <v>421</v>
      </c>
      <c r="D26" s="116" t="s">
        <v>415</v>
      </c>
      <c r="E26" s="116" t="s">
        <v>412</v>
      </c>
      <c r="F26" s="116" t="s">
        <v>409</v>
      </c>
      <c r="G26" s="116" t="s">
        <v>398</v>
      </c>
      <c r="H26" s="116" t="s">
        <v>399</v>
      </c>
      <c r="I26" s="116" t="s">
        <v>306</v>
      </c>
      <c r="J26" s="116" t="s">
        <v>307</v>
      </c>
      <c r="K26" s="116" t="s">
        <v>308</v>
      </c>
      <c r="L26" s="116" t="s">
        <v>309</v>
      </c>
      <c r="M26" s="116" t="s">
        <v>310</v>
      </c>
      <c r="N26" s="116" t="s">
        <v>311</v>
      </c>
      <c r="O26" s="116" t="s">
        <v>312</v>
      </c>
      <c r="P26" s="116" t="s">
        <v>372</v>
      </c>
      <c r="Q26" s="116" t="s">
        <v>373</v>
      </c>
      <c r="R26" s="116" t="s">
        <v>374</v>
      </c>
      <c r="S26" s="116" t="s">
        <v>375</v>
      </c>
      <c r="T26" s="116" t="s">
        <v>376</v>
      </c>
      <c r="U26" s="116" t="s">
        <v>377</v>
      </c>
      <c r="V26" s="116" t="s">
        <v>378</v>
      </c>
      <c r="W26" s="116" t="s">
        <v>379</v>
      </c>
      <c r="X26" s="116" t="s">
        <v>380</v>
      </c>
      <c r="Y26" s="116" t="s">
        <v>381</v>
      </c>
      <c r="Z26" s="116" t="s">
        <v>382</v>
      </c>
      <c r="AA26" s="116" t="s">
        <v>383</v>
      </c>
      <c r="AB26" s="116" t="s">
        <v>384</v>
      </c>
      <c r="AC26" s="116" t="s">
        <v>385</v>
      </c>
      <c r="AD26" s="116" t="s">
        <v>386</v>
      </c>
      <c r="AE26" s="116" t="s">
        <v>387</v>
      </c>
      <c r="AF26" s="116" t="s">
        <v>388</v>
      </c>
      <c r="AG26" s="116" t="s">
        <v>314</v>
      </c>
      <c r="AH26" s="116" t="s">
        <v>315</v>
      </c>
      <c r="AI26" s="116" t="s">
        <v>316</v>
      </c>
      <c r="AJ26" s="116" t="s">
        <v>317</v>
      </c>
      <c r="AK26" s="116" t="s">
        <v>318</v>
      </c>
      <c r="AL26" s="116" t="s">
        <v>319</v>
      </c>
      <c r="AM26" s="116" t="s">
        <v>320</v>
      </c>
      <c r="AO26" s="117" t="s">
        <v>353</v>
      </c>
      <c r="AP26" s="118" t="s">
        <v>354</v>
      </c>
      <c r="AQ26" s="119" t="s">
        <v>355</v>
      </c>
    </row>
    <row r="27" spans="1:43" x14ac:dyDescent="0.2">
      <c r="A27" s="32" t="s">
        <v>270</v>
      </c>
      <c r="B27">
        <f t="shared" ref="B27:P36" si="2">B3-C3</f>
        <v>-9.0000000000006741E-5</v>
      </c>
      <c r="C27">
        <f t="shared" si="2"/>
        <v>2.0000000000006124E-5</v>
      </c>
      <c r="D27">
        <f t="shared" si="2"/>
        <v>1.1999999999999511E-4</v>
      </c>
      <c r="E27">
        <f t="shared" si="2"/>
        <v>2.0000000000006124E-5</v>
      </c>
      <c r="F27">
        <f t="shared" si="2"/>
        <v>-8.0000000000010618E-5</v>
      </c>
      <c r="G27">
        <f t="shared" si="2"/>
        <v>-1.9999999999992246E-5</v>
      </c>
      <c r="H27">
        <f t="shared" si="2"/>
        <v>7.0000000000000617E-5</v>
      </c>
      <c r="I27">
        <f t="shared" si="2"/>
        <v>1.0000000000000286E-4</v>
      </c>
      <c r="J27">
        <f t="shared" si="2"/>
        <v>-9.0000000000006741E-5</v>
      </c>
      <c r="K27">
        <f t="shared" si="2"/>
        <v>-1.0000000000000286E-4</v>
      </c>
      <c r="L27">
        <f t="shared" si="2"/>
        <v>7.0000000000000617E-5</v>
      </c>
      <c r="M27">
        <f t="shared" si="2"/>
        <v>9.0000000000006741E-5</v>
      </c>
      <c r="N27">
        <f t="shared" si="2"/>
        <v>-7.999999999999674E-5</v>
      </c>
      <c r="O27">
        <f t="shared" si="2"/>
        <v>-3.0000000000002247E-5</v>
      </c>
      <c r="P27">
        <f t="shared" si="2"/>
        <v>-5.0000000000008371E-5</v>
      </c>
      <c r="Q27">
        <f t="shared" ref="Q27:AA27" si="3">Q3-R3</f>
        <v>1.7000000000000348E-4</v>
      </c>
      <c r="R27">
        <f t="shared" si="3"/>
        <v>-1.9999999999999185E-4</v>
      </c>
      <c r="S27">
        <f t="shared" si="3"/>
        <v>3.9999999999999758E-4</v>
      </c>
      <c r="T27">
        <f t="shared" si="3"/>
        <v>-2.3000000000000798E-4</v>
      </c>
      <c r="U27">
        <f t="shared" si="3"/>
        <v>6.0000000000004494E-5</v>
      </c>
      <c r="V27">
        <f t="shared" si="3"/>
        <v>-2.0000000000006124E-5</v>
      </c>
      <c r="W27">
        <f t="shared" si="3"/>
        <v>-1.799999999999996E-4</v>
      </c>
      <c r="X27">
        <f t="shared" si="3"/>
        <v>3.0000000000002247E-5</v>
      </c>
      <c r="Y27">
        <f t="shared" si="3"/>
        <v>0</v>
      </c>
      <c r="Z27">
        <f t="shared" si="3"/>
        <v>6.0000000000004494E-5</v>
      </c>
      <c r="AA27">
        <f t="shared" si="3"/>
        <v>3.0000000000002247E-5</v>
      </c>
      <c r="AB27">
        <f t="shared" ref="AB27:AF27" si="4">AB3-AC3</f>
        <v>-2.0000000000006124E-5</v>
      </c>
      <c r="AC27">
        <f t="shared" si="4"/>
        <v>-1.0000000000000286E-4</v>
      </c>
      <c r="AD27">
        <f t="shared" si="4"/>
        <v>6.0000000000004494E-5</v>
      </c>
      <c r="AE27">
        <f t="shared" si="4"/>
        <v>-3.999999999999837E-5</v>
      </c>
      <c r="AF27">
        <f t="shared" si="4"/>
        <v>6.0000000000004494E-5</v>
      </c>
      <c r="AG27">
        <f t="shared" ref="AG27:AM36" si="5">AG3-AH3</f>
        <v>-3.0000000000002247E-5</v>
      </c>
      <c r="AH27">
        <f t="shared" si="5"/>
        <v>0</v>
      </c>
      <c r="AI27">
        <f t="shared" si="5"/>
        <v>-2.0000000000006124E-5</v>
      </c>
      <c r="AJ27">
        <f t="shared" si="5"/>
        <v>-3.999999999999837E-5</v>
      </c>
      <c r="AK27">
        <f t="shared" si="5"/>
        <v>3.999999999999837E-5</v>
      </c>
      <c r="AL27">
        <f t="shared" si="5"/>
        <v>6.0000000000004494E-5</v>
      </c>
      <c r="AM27">
        <f t="shared" si="5"/>
        <v>-1.799999999999996E-4</v>
      </c>
      <c r="AO27" s="120">
        <f>MIN(F27:AM27)</f>
        <v>-2.3000000000000798E-4</v>
      </c>
      <c r="AP27" s="60">
        <f>MAX(F27:AM27)</f>
        <v>3.9999999999999758E-4</v>
      </c>
      <c r="AQ27" s="121">
        <f>AP27-AO27</f>
        <v>6.3000000000000556E-4</v>
      </c>
    </row>
    <row r="28" spans="1:43" x14ac:dyDescent="0.2">
      <c r="A28" s="32" t="s">
        <v>271</v>
      </c>
      <c r="B28">
        <f t="shared" si="2"/>
        <v>5.9999999999976739E-5</v>
      </c>
      <c r="C28">
        <f t="shared" si="2"/>
        <v>-4.9999999999994493E-5</v>
      </c>
      <c r="D28">
        <f t="shared" si="2"/>
        <v>-9.9999999999822453E-6</v>
      </c>
      <c r="E28">
        <f t="shared" si="2"/>
        <v>-5.0000000000022249E-5</v>
      </c>
      <c r="F28">
        <f t="shared" si="2"/>
        <v>3.0000000000002247E-5</v>
      </c>
      <c r="G28">
        <f t="shared" si="2"/>
        <v>0</v>
      </c>
      <c r="H28">
        <f t="shared" si="2"/>
        <v>1.0000000000010001E-5</v>
      </c>
      <c r="I28">
        <f t="shared" si="2"/>
        <v>-3.0000000000002247E-5</v>
      </c>
      <c r="J28">
        <f t="shared" si="2"/>
        <v>1.0000000000010001E-5</v>
      </c>
      <c r="K28">
        <f t="shared" si="2"/>
        <v>3.9999999999984492E-5</v>
      </c>
      <c r="L28">
        <f t="shared" si="2"/>
        <v>-9.9999999999822453E-6</v>
      </c>
      <c r="M28">
        <f t="shared" si="2"/>
        <v>-1.0000000000010001E-5</v>
      </c>
      <c r="N28">
        <f t="shared" si="2"/>
        <v>-4.0000000000012248E-5</v>
      </c>
      <c r="O28">
        <f t="shared" si="2"/>
        <v>7.0000000000014495E-5</v>
      </c>
      <c r="P28">
        <f t="shared" si="2"/>
        <v>3.0000000000002247E-5</v>
      </c>
      <c r="Q28">
        <f t="shared" ref="Q28:AF28" si="6">Q4-R4</f>
        <v>-1.0000000000001674E-4</v>
      </c>
      <c r="R28">
        <f t="shared" si="6"/>
        <v>8.0000000000024496E-5</v>
      </c>
      <c r="S28">
        <f t="shared" si="6"/>
        <v>-9.0000000000006741E-5</v>
      </c>
      <c r="T28">
        <f t="shared" si="6"/>
        <v>0</v>
      </c>
      <c r="U28">
        <f t="shared" si="6"/>
        <v>3.9999999999984492E-5</v>
      </c>
      <c r="V28">
        <f t="shared" si="6"/>
        <v>-1.9999999999992246E-5</v>
      </c>
      <c r="W28">
        <f t="shared" si="6"/>
        <v>3.0000000000002247E-5</v>
      </c>
      <c r="X28">
        <f t="shared" si="6"/>
        <v>1.9999999999992246E-5</v>
      </c>
      <c r="Y28">
        <f t="shared" si="6"/>
        <v>-9.9999999999822453E-6</v>
      </c>
      <c r="Z28">
        <f t="shared" si="6"/>
        <v>0</v>
      </c>
      <c r="AA28">
        <f t="shared" si="6"/>
        <v>9.9999999999822453E-6</v>
      </c>
      <c r="AB28">
        <f t="shared" si="6"/>
        <v>-4.9999999999994493E-5</v>
      </c>
      <c r="AC28">
        <f t="shared" si="6"/>
        <v>7.0000000000014495E-5</v>
      </c>
      <c r="AD28">
        <f t="shared" si="6"/>
        <v>-4.0000000000012248E-5</v>
      </c>
      <c r="AE28">
        <f t="shared" si="6"/>
        <v>6.0000000000004494E-5</v>
      </c>
      <c r="AF28">
        <f t="shared" si="6"/>
        <v>-3.0000000000002247E-5</v>
      </c>
      <c r="AG28">
        <f t="shared" si="5"/>
        <v>-4.9999999999994493E-5</v>
      </c>
      <c r="AH28">
        <f t="shared" si="5"/>
        <v>0</v>
      </c>
      <c r="AI28">
        <f t="shared" si="5"/>
        <v>6.0000000000004494E-5</v>
      </c>
      <c r="AJ28">
        <f t="shared" si="5"/>
        <v>-2.0000000000020002E-5</v>
      </c>
      <c r="AK28">
        <f t="shared" si="5"/>
        <v>-3.0000000000002247E-5</v>
      </c>
      <c r="AL28">
        <f t="shared" si="5"/>
        <v>-3.9999999999984492E-5</v>
      </c>
      <c r="AM28">
        <f t="shared" si="5"/>
        <v>4.9999999999994493E-5</v>
      </c>
      <c r="AO28" s="120">
        <f t="shared" ref="AO28:AO46" si="7">MIN(F28:AM28)</f>
        <v>-1.0000000000001674E-4</v>
      </c>
      <c r="AP28" s="60">
        <f t="shared" ref="AP28:AP46" si="8">MAX(F28:AM28)</f>
        <v>8.0000000000024496E-5</v>
      </c>
      <c r="AQ28" s="121">
        <f t="shared" ref="AQ28:AQ46" si="9">AP28-AO28</f>
        <v>1.8000000000004124E-4</v>
      </c>
    </row>
    <row r="29" spans="1:43" x14ac:dyDescent="0.2">
      <c r="A29" s="32" t="s">
        <v>272</v>
      </c>
      <c r="B29">
        <f t="shared" si="2"/>
        <v>3.0000000000002247E-5</v>
      </c>
      <c r="C29">
        <f t="shared" si="2"/>
        <v>-3.0000000000002247E-5</v>
      </c>
      <c r="D29">
        <f t="shared" si="2"/>
        <v>1.0000000000010001E-5</v>
      </c>
      <c r="E29">
        <f t="shared" si="2"/>
        <v>9.9999999999988987E-5</v>
      </c>
      <c r="F29">
        <f t="shared" si="2"/>
        <v>-6.9999999999986739E-5</v>
      </c>
      <c r="G29">
        <f t="shared" si="2"/>
        <v>-2.0000000000020002E-5</v>
      </c>
      <c r="H29">
        <f t="shared" si="2"/>
        <v>-9.9999999999822453E-6</v>
      </c>
      <c r="I29">
        <f t="shared" si="2"/>
        <v>0</v>
      </c>
      <c r="J29">
        <f t="shared" si="2"/>
        <v>-1.0000000000010001E-5</v>
      </c>
      <c r="K29">
        <f t="shared" si="2"/>
        <v>4.9999999999994493E-5</v>
      </c>
      <c r="L29">
        <f t="shared" si="2"/>
        <v>-1.9999999999992246E-5</v>
      </c>
      <c r="M29">
        <f t="shared" si="2"/>
        <v>-4.9999999999994493E-5</v>
      </c>
      <c r="N29">
        <f t="shared" si="2"/>
        <v>-1.0000000000010001E-5</v>
      </c>
      <c r="O29">
        <f t="shared" si="2"/>
        <v>0</v>
      </c>
      <c r="P29">
        <f t="shared" si="2"/>
        <v>1.8000000000001348E-4</v>
      </c>
      <c r="Q29">
        <f t="shared" ref="Q29:AF29" si="10">Q5-R5</f>
        <v>-1.0000000000001674E-4</v>
      </c>
      <c r="R29">
        <f t="shared" si="10"/>
        <v>1.0000000000010001E-5</v>
      </c>
      <c r="S29">
        <f t="shared" si="10"/>
        <v>6.0000000000004494E-5</v>
      </c>
      <c r="T29">
        <f t="shared" si="10"/>
        <v>-1.0000000000001674E-4</v>
      </c>
      <c r="U29">
        <f t="shared" si="10"/>
        <v>2.0000000000020002E-5</v>
      </c>
      <c r="V29">
        <f t="shared" si="10"/>
        <v>4.9999999999994493E-5</v>
      </c>
      <c r="W29">
        <f t="shared" si="10"/>
        <v>4.9999999999994493E-5</v>
      </c>
      <c r="X29">
        <f t="shared" si="10"/>
        <v>1.5000000000001124E-4</v>
      </c>
      <c r="Y29">
        <f t="shared" si="10"/>
        <v>-1.8000000000001348E-4</v>
      </c>
      <c r="Z29">
        <f t="shared" si="10"/>
        <v>-3.0000000000002247E-5</v>
      </c>
      <c r="AA29">
        <f t="shared" si="10"/>
        <v>3.0000000000002247E-5</v>
      </c>
      <c r="AB29">
        <f t="shared" si="10"/>
        <v>-3.0000000000002247E-5</v>
      </c>
      <c r="AC29">
        <f t="shared" si="10"/>
        <v>-3.9999999999984492E-5</v>
      </c>
      <c r="AD29">
        <f t="shared" si="10"/>
        <v>9.9999999999822453E-6</v>
      </c>
      <c r="AE29">
        <f t="shared" si="10"/>
        <v>6.0000000000004494E-5</v>
      </c>
      <c r="AF29">
        <f t="shared" si="10"/>
        <v>2.0000000000000573E-4</v>
      </c>
      <c r="AG29">
        <f t="shared" si="5"/>
        <v>7.999999999999674E-5</v>
      </c>
      <c r="AH29">
        <f t="shared" si="5"/>
        <v>-2.1999999999999797E-4</v>
      </c>
      <c r="AI29">
        <f t="shared" si="5"/>
        <v>-7.999999999999674E-5</v>
      </c>
      <c r="AJ29">
        <f t="shared" si="5"/>
        <v>9.9999999999988987E-5</v>
      </c>
      <c r="AK29">
        <f t="shared" si="5"/>
        <v>-9.9999999999822453E-6</v>
      </c>
      <c r="AL29">
        <f t="shared" si="5"/>
        <v>9.9999999999822453E-6</v>
      </c>
      <c r="AM29">
        <f t="shared" si="5"/>
        <v>1.2000000000000899E-4</v>
      </c>
      <c r="AO29" s="120">
        <f t="shared" si="7"/>
        <v>-2.1999999999999797E-4</v>
      </c>
      <c r="AP29" s="60">
        <f t="shared" si="8"/>
        <v>2.0000000000000573E-4</v>
      </c>
      <c r="AQ29" s="121">
        <f t="shared" si="9"/>
        <v>4.200000000000037E-4</v>
      </c>
    </row>
    <row r="30" spans="1:43" x14ac:dyDescent="0.2">
      <c r="A30" s="32" t="s">
        <v>273</v>
      </c>
      <c r="B30">
        <f t="shared" si="2"/>
        <v>-4.0000000000012248E-5</v>
      </c>
      <c r="C30">
        <f t="shared" si="2"/>
        <v>6.0000000000004494E-5</v>
      </c>
      <c r="D30">
        <f t="shared" si="2"/>
        <v>-4.9999999999994493E-5</v>
      </c>
      <c r="E30">
        <f t="shared" si="2"/>
        <v>-7.0000000000014495E-5</v>
      </c>
      <c r="F30">
        <f t="shared" si="2"/>
        <v>7.0000000000014495E-5</v>
      </c>
      <c r="G30">
        <f t="shared" si="2"/>
        <v>0</v>
      </c>
      <c r="H30">
        <f t="shared" si="2"/>
        <v>6.0000000000004494E-5</v>
      </c>
      <c r="I30">
        <f t="shared" si="2"/>
        <v>-4.9999999999994493E-5</v>
      </c>
      <c r="J30">
        <f t="shared" si="2"/>
        <v>0</v>
      </c>
      <c r="K30">
        <f t="shared" si="2"/>
        <v>-5.0000000000022249E-5</v>
      </c>
      <c r="L30">
        <f t="shared" si="2"/>
        <v>2.0000000000020002E-5</v>
      </c>
      <c r="M30">
        <f t="shared" si="2"/>
        <v>4.9999999999994493E-5</v>
      </c>
      <c r="N30">
        <f t="shared" si="2"/>
        <v>-1.9999999999992246E-5</v>
      </c>
      <c r="O30">
        <f t="shared" si="2"/>
        <v>-1.0000000000010001E-5</v>
      </c>
      <c r="P30">
        <f t="shared" si="2"/>
        <v>-1.0999999999999899E-4</v>
      </c>
      <c r="Q30">
        <f t="shared" ref="Q30:AF30" si="11">Q6-R6</f>
        <v>1.2999999999999123E-4</v>
      </c>
      <c r="R30">
        <f t="shared" si="11"/>
        <v>-6.9999999999986739E-5</v>
      </c>
      <c r="S30">
        <f t="shared" si="11"/>
        <v>3.0000000000002247E-5</v>
      </c>
      <c r="T30">
        <f t="shared" si="11"/>
        <v>5.9999999999976739E-5</v>
      </c>
      <c r="U30">
        <f t="shared" si="11"/>
        <v>-6.9999999999986739E-5</v>
      </c>
      <c r="V30">
        <f t="shared" si="11"/>
        <v>-4.0000000000012248E-5</v>
      </c>
      <c r="W30">
        <f t="shared" si="11"/>
        <v>4.0000000000012248E-5</v>
      </c>
      <c r="X30">
        <f t="shared" si="11"/>
        <v>-2.3999999999999022E-4</v>
      </c>
      <c r="Y30">
        <f t="shared" si="11"/>
        <v>2.5999999999998247E-4</v>
      </c>
      <c r="Z30">
        <f t="shared" si="11"/>
        <v>4.9999999999994493E-5</v>
      </c>
      <c r="AA30">
        <f t="shared" si="11"/>
        <v>-5.9999999999976739E-5</v>
      </c>
      <c r="AB30">
        <f t="shared" si="11"/>
        <v>6.9999999999986739E-5</v>
      </c>
      <c r="AC30">
        <f t="shared" si="11"/>
        <v>-6.0000000000004494E-5</v>
      </c>
      <c r="AD30">
        <f t="shared" si="11"/>
        <v>3.0000000000002247E-5</v>
      </c>
      <c r="AE30">
        <f t="shared" si="11"/>
        <v>1.9999999999992246E-5</v>
      </c>
      <c r="AF30">
        <f t="shared" si="11"/>
        <v>-2.2999999999998022E-4</v>
      </c>
      <c r="AG30">
        <f t="shared" si="5"/>
        <v>-4.9999999999994493E-5</v>
      </c>
      <c r="AH30">
        <f t="shared" si="5"/>
        <v>1.7999999999998573E-4</v>
      </c>
      <c r="AI30">
        <f t="shared" si="5"/>
        <v>-1.9999999999992246E-5</v>
      </c>
      <c r="AJ30">
        <f t="shared" si="5"/>
        <v>-2.6000000000001022E-4</v>
      </c>
      <c r="AK30">
        <f t="shared" si="5"/>
        <v>4.9999999999994493E-5</v>
      </c>
      <c r="AL30">
        <f t="shared" si="5"/>
        <v>0</v>
      </c>
      <c r="AM30">
        <f t="shared" si="5"/>
        <v>-2.5999999999998247E-4</v>
      </c>
      <c r="AO30" s="120">
        <f t="shared" si="7"/>
        <v>-2.6000000000001022E-4</v>
      </c>
      <c r="AP30" s="60">
        <f t="shared" si="8"/>
        <v>2.5999999999998247E-4</v>
      </c>
      <c r="AQ30" s="121">
        <f t="shared" si="9"/>
        <v>5.1999999999999269E-4</v>
      </c>
    </row>
    <row r="31" spans="1:43" x14ac:dyDescent="0.2">
      <c r="A31" s="32" t="s">
        <v>281</v>
      </c>
      <c r="B31">
        <f t="shared" si="2"/>
        <v>3.9999999999984492E-5</v>
      </c>
      <c r="C31">
        <f t="shared" si="2"/>
        <v>-4.9999999999994493E-5</v>
      </c>
      <c r="D31">
        <f t="shared" si="2"/>
        <v>3.0000000000002247E-5</v>
      </c>
      <c r="E31">
        <f t="shared" si="2"/>
        <v>0</v>
      </c>
      <c r="F31">
        <f t="shared" si="2"/>
        <v>-3.0000000000002247E-5</v>
      </c>
      <c r="G31">
        <f t="shared" si="2"/>
        <v>9.0000000000006741E-5</v>
      </c>
      <c r="H31">
        <f t="shared" si="2"/>
        <v>-7.999999999999674E-5</v>
      </c>
      <c r="I31">
        <f t="shared" si="2"/>
        <v>1.9999999999992246E-5</v>
      </c>
      <c r="J31">
        <f t="shared" si="2"/>
        <v>0</v>
      </c>
      <c r="K31">
        <f t="shared" si="2"/>
        <v>1.9999999999992246E-5</v>
      </c>
      <c r="L31">
        <f t="shared" si="2"/>
        <v>-4.9999999999994493E-5</v>
      </c>
      <c r="M31">
        <f t="shared" si="2"/>
        <v>-1.9999999999992246E-5</v>
      </c>
      <c r="N31">
        <f t="shared" si="2"/>
        <v>3.0000000000002247E-5</v>
      </c>
      <c r="O31">
        <f t="shared" si="2"/>
        <v>3.0000000000002247E-5</v>
      </c>
      <c r="P31">
        <f t="shared" si="2"/>
        <v>-4.0000000000012248E-5</v>
      </c>
      <c r="Q31">
        <f t="shared" ref="Q31:AF31" si="12">Q7-R7</f>
        <v>0</v>
      </c>
      <c r="R31">
        <f t="shared" si="12"/>
        <v>6.0000000000004494E-5</v>
      </c>
      <c r="S31">
        <f t="shared" si="12"/>
        <v>-4.0000000000012248E-5</v>
      </c>
      <c r="T31">
        <f t="shared" si="12"/>
        <v>-3.9999999999984492E-5</v>
      </c>
      <c r="U31">
        <f t="shared" si="12"/>
        <v>-1.0000000000010001E-5</v>
      </c>
      <c r="V31">
        <f t="shared" si="12"/>
        <v>3.0000000000002247E-5</v>
      </c>
      <c r="W31">
        <f t="shared" si="12"/>
        <v>-1.9999999999992246E-5</v>
      </c>
      <c r="X31">
        <f t="shared" si="12"/>
        <v>-4.0000000000012248E-5</v>
      </c>
      <c r="Y31">
        <f t="shared" si="12"/>
        <v>-9.9999999999822453E-6</v>
      </c>
      <c r="Z31">
        <f t="shared" si="12"/>
        <v>1.9999999999992246E-5</v>
      </c>
      <c r="AA31">
        <f t="shared" si="12"/>
        <v>-1.0000000000010001E-5</v>
      </c>
      <c r="AB31">
        <f t="shared" si="12"/>
        <v>0</v>
      </c>
      <c r="AC31">
        <f t="shared" si="12"/>
        <v>1.0000000000010001E-5</v>
      </c>
      <c r="AD31">
        <f t="shared" si="12"/>
        <v>1.0000000000010001E-5</v>
      </c>
      <c r="AE31">
        <f t="shared" si="12"/>
        <v>-1.0000000000001674E-4</v>
      </c>
      <c r="AF31">
        <f t="shared" si="12"/>
        <v>7.0000000000014495E-5</v>
      </c>
      <c r="AG31">
        <f t="shared" si="5"/>
        <v>-7.0000000000014495E-5</v>
      </c>
      <c r="AH31">
        <f t="shared" si="5"/>
        <v>1.0999999999999899E-4</v>
      </c>
      <c r="AI31">
        <f t="shared" si="5"/>
        <v>4.9999999999994493E-5</v>
      </c>
      <c r="AJ31">
        <f t="shared" si="5"/>
        <v>1.1000000000002674E-4</v>
      </c>
      <c r="AK31">
        <f t="shared" si="5"/>
        <v>5.9999999999976739E-5</v>
      </c>
      <c r="AL31">
        <f t="shared" si="5"/>
        <v>1.0000000000010001E-5</v>
      </c>
      <c r="AM31">
        <f t="shared" si="5"/>
        <v>4.9999999999994493E-5</v>
      </c>
      <c r="AO31" s="120">
        <f t="shared" si="7"/>
        <v>-1.0000000000001674E-4</v>
      </c>
      <c r="AP31" s="60">
        <f t="shared" si="8"/>
        <v>1.1000000000002674E-4</v>
      </c>
      <c r="AQ31" s="121">
        <f t="shared" si="9"/>
        <v>2.1000000000004349E-4</v>
      </c>
    </row>
    <row r="32" spans="1:43" x14ac:dyDescent="0.2">
      <c r="A32" s="32" t="s">
        <v>274</v>
      </c>
      <c r="B32">
        <f t="shared" si="2"/>
        <v>-6.0000000000004494E-5</v>
      </c>
      <c r="C32">
        <f t="shared" si="2"/>
        <v>7.999999999999674E-5</v>
      </c>
      <c r="D32">
        <f t="shared" si="2"/>
        <v>-1.9999999999992246E-5</v>
      </c>
      <c r="E32">
        <f t="shared" si="2"/>
        <v>3.9999999999984492E-5</v>
      </c>
      <c r="F32">
        <f t="shared" si="2"/>
        <v>0</v>
      </c>
      <c r="G32">
        <f t="shared" si="2"/>
        <v>-3.0000000000002247E-5</v>
      </c>
      <c r="H32">
        <f t="shared" si="2"/>
        <v>-1.9999999999992246E-5</v>
      </c>
      <c r="I32">
        <f t="shared" si="2"/>
        <v>-3.0000000000002247E-5</v>
      </c>
      <c r="J32">
        <f t="shared" si="2"/>
        <v>1.0000000000010001E-5</v>
      </c>
      <c r="K32">
        <f t="shared" si="2"/>
        <v>-1.0000000000010001E-5</v>
      </c>
      <c r="L32">
        <f t="shared" si="2"/>
        <v>1.9999999999992246E-5</v>
      </c>
      <c r="M32">
        <f t="shared" si="2"/>
        <v>0</v>
      </c>
      <c r="N32">
        <f t="shared" si="2"/>
        <v>1.0000000000010001E-5</v>
      </c>
      <c r="O32">
        <f t="shared" si="2"/>
        <v>6.0000000000004494E-5</v>
      </c>
      <c r="P32">
        <f t="shared" si="2"/>
        <v>-1.9999999999992246E-5</v>
      </c>
      <c r="Q32">
        <f t="shared" ref="Q32:AF32" si="13">Q8-R8</f>
        <v>-2.0000000000020002E-5</v>
      </c>
      <c r="R32">
        <f t="shared" si="13"/>
        <v>-1.1999999999998123E-4</v>
      </c>
      <c r="S32">
        <f t="shared" si="13"/>
        <v>1.2999999999999123E-4</v>
      </c>
      <c r="T32">
        <f t="shared" si="13"/>
        <v>-1.9999999999992246E-5</v>
      </c>
      <c r="U32">
        <f t="shared" si="13"/>
        <v>-3.0000000000002247E-5</v>
      </c>
      <c r="V32">
        <f t="shared" si="13"/>
        <v>-2.0000000000020002E-5</v>
      </c>
      <c r="W32">
        <f t="shared" si="13"/>
        <v>-1.9999999999992246E-5</v>
      </c>
      <c r="X32">
        <f t="shared" si="13"/>
        <v>1.3000000000001899E-4</v>
      </c>
      <c r="Y32">
        <f t="shared" si="13"/>
        <v>-8.0000000000024496E-5</v>
      </c>
      <c r="Z32">
        <f t="shared" si="13"/>
        <v>1.0000000000010001E-5</v>
      </c>
      <c r="AA32">
        <f t="shared" si="13"/>
        <v>-4.9999999999994493E-5</v>
      </c>
      <c r="AB32">
        <f t="shared" si="13"/>
        <v>6.0000000000004494E-5</v>
      </c>
      <c r="AC32">
        <f t="shared" si="13"/>
        <v>-3.0000000000002247E-5</v>
      </c>
      <c r="AD32">
        <f t="shared" si="13"/>
        <v>-3.0000000000002247E-5</v>
      </c>
      <c r="AE32">
        <f t="shared" si="13"/>
        <v>3.9999999999984492E-5</v>
      </c>
      <c r="AF32">
        <f t="shared" si="13"/>
        <v>4.0000000000012248E-5</v>
      </c>
      <c r="AG32">
        <f t="shared" si="5"/>
        <v>-3.0000000000002247E-5</v>
      </c>
      <c r="AH32">
        <f t="shared" si="5"/>
        <v>3.0000000000002247E-5</v>
      </c>
      <c r="AI32">
        <f t="shared" si="5"/>
        <v>-1.9999999999992246E-5</v>
      </c>
      <c r="AJ32">
        <f t="shared" si="5"/>
        <v>-5.0000000000022249E-5</v>
      </c>
      <c r="AK32">
        <f t="shared" si="5"/>
        <v>9.0000000000006741E-5</v>
      </c>
      <c r="AL32">
        <f t="shared" si="5"/>
        <v>-1.9999999999992246E-5</v>
      </c>
      <c r="AM32">
        <f t="shared" si="5"/>
        <v>-4.9999999999994493E-5</v>
      </c>
      <c r="AO32" s="120">
        <f t="shared" si="7"/>
        <v>-1.1999999999998123E-4</v>
      </c>
      <c r="AP32" s="60">
        <f t="shared" si="8"/>
        <v>1.3000000000001899E-4</v>
      </c>
      <c r="AQ32" s="121">
        <f t="shared" si="9"/>
        <v>2.5000000000000022E-4</v>
      </c>
    </row>
    <row r="33" spans="1:43" x14ac:dyDescent="0.2">
      <c r="A33" s="32" t="s">
        <v>275</v>
      </c>
      <c r="B33">
        <f t="shared" si="2"/>
        <v>-9.0000000000006741E-5</v>
      </c>
      <c r="C33">
        <f t="shared" si="2"/>
        <v>4.9999999999994493E-5</v>
      </c>
      <c r="D33">
        <f t="shared" si="2"/>
        <v>0</v>
      </c>
      <c r="E33">
        <f t="shared" si="2"/>
        <v>3.0000000000002247E-5</v>
      </c>
      <c r="F33">
        <f t="shared" si="2"/>
        <v>-4.9999999999994493E-5</v>
      </c>
      <c r="G33">
        <f t="shared" si="2"/>
        <v>3.0000000000002247E-5</v>
      </c>
      <c r="H33">
        <f t="shared" si="2"/>
        <v>-1.0000000000010001E-5</v>
      </c>
      <c r="I33">
        <f t="shared" si="2"/>
        <v>7.0000000000014495E-5</v>
      </c>
      <c r="J33">
        <f t="shared" si="2"/>
        <v>-4.0000000000012248E-5</v>
      </c>
      <c r="K33">
        <f t="shared" si="2"/>
        <v>-3.9999999999984492E-5</v>
      </c>
      <c r="L33">
        <f t="shared" si="2"/>
        <v>1.9999999999992246E-5</v>
      </c>
      <c r="M33">
        <f t="shared" si="2"/>
        <v>-4.9999999999994493E-5</v>
      </c>
      <c r="N33">
        <f t="shared" si="2"/>
        <v>9.9999999999988987E-5</v>
      </c>
      <c r="O33">
        <f t="shared" si="2"/>
        <v>-9.0000000000006741E-5</v>
      </c>
      <c r="P33">
        <f t="shared" si="2"/>
        <v>2.0000000000020002E-5</v>
      </c>
      <c r="Q33">
        <f t="shared" ref="Q33:AF33" si="14">Q9-R9</f>
        <v>9.9999999999822453E-6</v>
      </c>
      <c r="R33">
        <f t="shared" si="14"/>
        <v>-9.0000000000006741E-5</v>
      </c>
      <c r="S33">
        <f t="shared" si="14"/>
        <v>1.0000000000010001E-5</v>
      </c>
      <c r="T33">
        <f t="shared" si="14"/>
        <v>4.0000000000012248E-5</v>
      </c>
      <c r="U33">
        <f t="shared" si="14"/>
        <v>3.0000000000002247E-5</v>
      </c>
      <c r="V33">
        <f t="shared" si="14"/>
        <v>-1.0000000000010001E-5</v>
      </c>
      <c r="W33">
        <f t="shared" si="14"/>
        <v>3.0000000000002247E-5</v>
      </c>
      <c r="X33">
        <f t="shared" si="14"/>
        <v>-1.9999999999992246E-5</v>
      </c>
      <c r="Y33">
        <f t="shared" si="14"/>
        <v>3.9999999999984492E-5</v>
      </c>
      <c r="Z33">
        <f t="shared" si="14"/>
        <v>-3.9999999999984492E-5</v>
      </c>
      <c r="AA33">
        <f t="shared" si="14"/>
        <v>-1.0000000000010001E-5</v>
      </c>
      <c r="AB33">
        <f t="shared" si="14"/>
        <v>-4.9999999999994493E-5</v>
      </c>
      <c r="AC33">
        <f t="shared" si="14"/>
        <v>6.9999999999986739E-5</v>
      </c>
      <c r="AD33">
        <f t="shared" si="14"/>
        <v>1.0000000000010001E-5</v>
      </c>
      <c r="AE33">
        <f t="shared" si="14"/>
        <v>-7.0000000000014495E-5</v>
      </c>
      <c r="AF33">
        <f t="shared" si="14"/>
        <v>9.0000000000006741E-5</v>
      </c>
      <c r="AG33">
        <f t="shared" si="5"/>
        <v>0</v>
      </c>
      <c r="AH33">
        <f t="shared" si="5"/>
        <v>-3.9999999999984492E-5</v>
      </c>
      <c r="AI33">
        <f t="shared" si="5"/>
        <v>-4.0000000000012248E-5</v>
      </c>
      <c r="AJ33">
        <f t="shared" si="5"/>
        <v>1.0000000000010001E-5</v>
      </c>
      <c r="AK33">
        <f t="shared" si="5"/>
        <v>1.9999999999992246E-5</v>
      </c>
      <c r="AL33">
        <f t="shared" si="5"/>
        <v>1.9999999999992246E-5</v>
      </c>
      <c r="AM33">
        <f t="shared" si="5"/>
        <v>-1.9999999999992246E-5</v>
      </c>
      <c r="AO33" s="120">
        <f t="shared" si="7"/>
        <v>-9.0000000000006741E-5</v>
      </c>
      <c r="AP33" s="60">
        <f t="shared" si="8"/>
        <v>9.9999999999988987E-5</v>
      </c>
      <c r="AQ33" s="121">
        <f t="shared" si="9"/>
        <v>1.8999999999999573E-4</v>
      </c>
    </row>
    <row r="34" spans="1:43" x14ac:dyDescent="0.2">
      <c r="A34" s="32" t="s">
        <v>276</v>
      </c>
      <c r="B34">
        <f t="shared" si="2"/>
        <v>0</v>
      </c>
      <c r="C34">
        <f t="shared" si="2"/>
        <v>-1.9999999999992246E-5</v>
      </c>
      <c r="D34">
        <f t="shared" si="2"/>
        <v>4.9999999999994493E-5</v>
      </c>
      <c r="E34">
        <f t="shared" si="2"/>
        <v>4.9999999999994493E-5</v>
      </c>
      <c r="F34">
        <f t="shared" si="2"/>
        <v>-6.9999999999986739E-5</v>
      </c>
      <c r="G34">
        <f t="shared" si="2"/>
        <v>3.0000000000002247E-5</v>
      </c>
      <c r="H34">
        <f t="shared" si="2"/>
        <v>-1.0000000000010001E-5</v>
      </c>
      <c r="I34">
        <f t="shared" si="2"/>
        <v>-4.9999999999994493E-5</v>
      </c>
      <c r="J34">
        <f t="shared" si="2"/>
        <v>1.0000000000010001E-5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9.9999999999822453E-6</v>
      </c>
      <c r="O34">
        <f t="shared" si="2"/>
        <v>2.0000000000020002E-5</v>
      </c>
      <c r="P34">
        <f t="shared" si="2"/>
        <v>0</v>
      </c>
      <c r="Q34">
        <f t="shared" ref="Q34:AF34" si="15">Q10-R10</f>
        <v>-2.0000000000020002E-5</v>
      </c>
      <c r="R34">
        <f t="shared" si="15"/>
        <v>1.0000000000001674E-4</v>
      </c>
      <c r="S34">
        <f t="shared" si="15"/>
        <v>-1.0000000000001674E-4</v>
      </c>
      <c r="T34">
        <f t="shared" si="15"/>
        <v>1.0000000000010001E-5</v>
      </c>
      <c r="U34">
        <f t="shared" si="15"/>
        <v>-4.0000000000012248E-5</v>
      </c>
      <c r="V34">
        <f t="shared" si="15"/>
        <v>1.0000000000010001E-5</v>
      </c>
      <c r="W34">
        <f t="shared" si="15"/>
        <v>4.9999999999994493E-5</v>
      </c>
      <c r="X34">
        <f t="shared" si="15"/>
        <v>-3.9999999999984492E-5</v>
      </c>
      <c r="Y34">
        <f t="shared" si="15"/>
        <v>3.9999999999984492E-5</v>
      </c>
      <c r="Z34">
        <f t="shared" si="15"/>
        <v>0</v>
      </c>
      <c r="AA34">
        <f t="shared" si="15"/>
        <v>-6.0000000000004494E-5</v>
      </c>
      <c r="AB34">
        <f t="shared" si="15"/>
        <v>5.0000000000022249E-5</v>
      </c>
      <c r="AC34">
        <f t="shared" si="15"/>
        <v>-5.0000000000022249E-5</v>
      </c>
      <c r="AD34">
        <f t="shared" si="15"/>
        <v>2.0000000000020002E-5</v>
      </c>
      <c r="AE34">
        <f t="shared" si="15"/>
        <v>4.9999999999994493E-5</v>
      </c>
      <c r="AF34">
        <f t="shared" si="15"/>
        <v>-3.0000000000002247E-5</v>
      </c>
      <c r="AG34">
        <f t="shared" si="5"/>
        <v>-6.0000000000004494E-5</v>
      </c>
      <c r="AH34">
        <f t="shared" si="5"/>
        <v>1.0000000000010001E-5</v>
      </c>
      <c r="AI34">
        <f t="shared" si="5"/>
        <v>3.9999999999984492E-5</v>
      </c>
      <c r="AJ34">
        <f t="shared" si="5"/>
        <v>1.0000000000010001E-5</v>
      </c>
      <c r="AK34">
        <f t="shared" si="5"/>
        <v>3.0000000000002247E-5</v>
      </c>
      <c r="AL34">
        <f t="shared" si="5"/>
        <v>0</v>
      </c>
      <c r="AM34">
        <f t="shared" si="5"/>
        <v>-3.0000000000002247E-5</v>
      </c>
      <c r="AO34" s="120">
        <f t="shared" si="7"/>
        <v>-1.0000000000001674E-4</v>
      </c>
      <c r="AP34" s="60">
        <f t="shared" si="8"/>
        <v>1.0000000000001674E-4</v>
      </c>
      <c r="AQ34" s="121">
        <f t="shared" si="9"/>
        <v>2.0000000000003348E-4</v>
      </c>
    </row>
    <row r="35" spans="1:43" x14ac:dyDescent="0.2">
      <c r="A35" s="32" t="s">
        <v>277</v>
      </c>
      <c r="B35">
        <f t="shared" si="2"/>
        <v>-4.9999999999994493E-5</v>
      </c>
      <c r="C35">
        <f t="shared" si="2"/>
        <v>7.0000000000014495E-5</v>
      </c>
      <c r="D35">
        <f t="shared" si="2"/>
        <v>-2.0000000000020002E-5</v>
      </c>
      <c r="E35">
        <f t="shared" si="2"/>
        <v>-2.9999999999974492E-5</v>
      </c>
      <c r="F35">
        <f t="shared" si="2"/>
        <v>3.9999999999984492E-5</v>
      </c>
      <c r="G35">
        <f t="shared" si="2"/>
        <v>-2.9999999999974492E-5</v>
      </c>
      <c r="H35">
        <f t="shared" si="2"/>
        <v>2.9999999999974492E-5</v>
      </c>
      <c r="I35">
        <f t="shared" si="2"/>
        <v>-3.9999999999984492E-5</v>
      </c>
      <c r="J35">
        <f t="shared" si="2"/>
        <v>2.0000000000020002E-5</v>
      </c>
      <c r="K35">
        <f t="shared" si="2"/>
        <v>0</v>
      </c>
      <c r="L35">
        <f t="shared" si="2"/>
        <v>1.9999999999964491E-5</v>
      </c>
      <c r="M35">
        <f t="shared" si="2"/>
        <v>-4.9999999999994493E-5</v>
      </c>
      <c r="N35">
        <f t="shared" si="2"/>
        <v>2.0000000000020002E-5</v>
      </c>
      <c r="O35">
        <f t="shared" si="2"/>
        <v>-2.0000000000020002E-5</v>
      </c>
      <c r="P35">
        <f t="shared" si="2"/>
        <v>2.0000000000020002E-5</v>
      </c>
      <c r="Q35">
        <f t="shared" ref="Q35:AF35" si="16">Q11-R11</f>
        <v>1.0000000000010001E-5</v>
      </c>
      <c r="R35">
        <f t="shared" si="16"/>
        <v>-6.0000000000004494E-5</v>
      </c>
      <c r="S35">
        <f t="shared" si="16"/>
        <v>9.9999999999988987E-5</v>
      </c>
      <c r="T35">
        <f t="shared" si="16"/>
        <v>-7.0000000000014495E-5</v>
      </c>
      <c r="U35">
        <f t="shared" si="16"/>
        <v>3.9999999999984492E-5</v>
      </c>
      <c r="V35">
        <f t="shared" si="16"/>
        <v>-1.9999999999964491E-5</v>
      </c>
      <c r="W35">
        <f t="shared" si="16"/>
        <v>0</v>
      </c>
      <c r="X35">
        <f t="shared" si="16"/>
        <v>2.9999999999974492E-5</v>
      </c>
      <c r="Y35">
        <f t="shared" si="16"/>
        <v>1.0000000000010001E-5</v>
      </c>
      <c r="Z35">
        <f t="shared" si="16"/>
        <v>0</v>
      </c>
      <c r="AA35">
        <f t="shared" si="16"/>
        <v>1.0000000000010001E-5</v>
      </c>
      <c r="AB35">
        <f t="shared" si="16"/>
        <v>-6.0000000000004494E-5</v>
      </c>
      <c r="AC35">
        <f t="shared" si="16"/>
        <v>2.0000000000020002E-5</v>
      </c>
      <c r="AD35">
        <f t="shared" si="16"/>
        <v>-3.0000000000030003E-5</v>
      </c>
      <c r="AE35">
        <f t="shared" si="16"/>
        <v>9.0000000000034497E-5</v>
      </c>
      <c r="AF35">
        <f t="shared" si="16"/>
        <v>-2.0000000000020002E-5</v>
      </c>
      <c r="AG35">
        <f t="shared" si="5"/>
        <v>-6.0000000000004494E-5</v>
      </c>
      <c r="AH35">
        <f t="shared" si="5"/>
        <v>6.0000000000004494E-5</v>
      </c>
      <c r="AI35">
        <f t="shared" si="5"/>
        <v>-3.9999999999984492E-5</v>
      </c>
      <c r="AJ35">
        <f t="shared" si="5"/>
        <v>2.9999999999974492E-5</v>
      </c>
      <c r="AK35">
        <f t="shared" si="5"/>
        <v>3.9000000000000146E-4</v>
      </c>
      <c r="AL35">
        <f t="shared" si="5"/>
        <v>0</v>
      </c>
      <c r="AM35">
        <f t="shared" si="5"/>
        <v>0</v>
      </c>
      <c r="AO35" s="120">
        <f t="shared" si="7"/>
        <v>-7.0000000000014495E-5</v>
      </c>
      <c r="AP35" s="60">
        <f t="shared" si="8"/>
        <v>3.9000000000000146E-4</v>
      </c>
      <c r="AQ35" s="121">
        <f t="shared" si="9"/>
        <v>4.6000000000001595E-4</v>
      </c>
    </row>
    <row r="36" spans="1:43" x14ac:dyDescent="0.2">
      <c r="A36" s="32" t="s">
        <v>278</v>
      </c>
      <c r="B36">
        <f t="shared" si="2"/>
        <v>1.9999999999964491E-5</v>
      </c>
      <c r="C36">
        <f t="shared" si="2"/>
        <v>-7.0000000000014495E-5</v>
      </c>
      <c r="D36">
        <f t="shared" si="2"/>
        <v>7.0000000000014495E-5</v>
      </c>
      <c r="E36">
        <f t="shared" si="2"/>
        <v>4.0000000000040004E-5</v>
      </c>
      <c r="F36">
        <f t="shared" si="2"/>
        <v>-6.0000000000004494E-5</v>
      </c>
      <c r="G36">
        <f t="shared" si="2"/>
        <v>-1.0000000000010001E-5</v>
      </c>
      <c r="H36">
        <f t="shared" si="2"/>
        <v>-1.0000000000010001E-5</v>
      </c>
      <c r="I36">
        <f t="shared" si="2"/>
        <v>3.9999999999984492E-5</v>
      </c>
      <c r="J36">
        <f t="shared" si="2"/>
        <v>0</v>
      </c>
      <c r="K36">
        <f t="shared" si="2"/>
        <v>-1.9999999999964491E-5</v>
      </c>
      <c r="L36">
        <f t="shared" si="2"/>
        <v>-6.0000000000004494E-5</v>
      </c>
      <c r="M36">
        <f t="shared" si="2"/>
        <v>6.9999999999958984E-5</v>
      </c>
      <c r="N36">
        <f t="shared" si="2"/>
        <v>-1.9999999999964491E-5</v>
      </c>
      <c r="O36">
        <f t="shared" si="2"/>
        <v>1.0000000000010001E-5</v>
      </c>
      <c r="P36">
        <f t="shared" si="2"/>
        <v>9.9999999999544897E-6</v>
      </c>
      <c r="Q36">
        <f t="shared" ref="Q36:AF36" si="17">Q12-R12</f>
        <v>2.0000000000020002E-5</v>
      </c>
      <c r="R36">
        <f t="shared" si="17"/>
        <v>-2.0000000000020002E-5</v>
      </c>
      <c r="S36">
        <f t="shared" si="17"/>
        <v>3.0000000000030003E-5</v>
      </c>
      <c r="T36">
        <f t="shared" si="17"/>
        <v>-4.9999999999994493E-5</v>
      </c>
      <c r="U36">
        <f t="shared" si="17"/>
        <v>2.9999999999974492E-5</v>
      </c>
      <c r="V36">
        <f t="shared" si="17"/>
        <v>-1.9999999999964491E-5</v>
      </c>
      <c r="W36">
        <f t="shared" si="17"/>
        <v>0</v>
      </c>
      <c r="X36">
        <f t="shared" si="17"/>
        <v>3.9999999999984492E-5</v>
      </c>
      <c r="Y36">
        <f t="shared" si="17"/>
        <v>-2.0000000000020002E-5</v>
      </c>
      <c r="Z36">
        <f t="shared" si="17"/>
        <v>0</v>
      </c>
      <c r="AA36">
        <f t="shared" si="17"/>
        <v>-1.9999999999964491E-5</v>
      </c>
      <c r="AB36">
        <f t="shared" si="17"/>
        <v>3.9999999999984492E-5</v>
      </c>
      <c r="AC36">
        <f t="shared" si="17"/>
        <v>-3.0000000000030003E-5</v>
      </c>
      <c r="AD36">
        <f t="shared" si="17"/>
        <v>0</v>
      </c>
      <c r="AE36">
        <f t="shared" si="17"/>
        <v>-6.0000000000004494E-5</v>
      </c>
      <c r="AF36">
        <f t="shared" si="17"/>
        <v>4.0000000000040004E-5</v>
      </c>
      <c r="AG36">
        <f t="shared" si="5"/>
        <v>2.9999999999974492E-5</v>
      </c>
      <c r="AH36">
        <f t="shared" si="5"/>
        <v>-2.9999999999974492E-5</v>
      </c>
      <c r="AI36">
        <f t="shared" si="5"/>
        <v>-4.9999999999994493E-5</v>
      </c>
      <c r="AJ36">
        <f t="shared" si="5"/>
        <v>2.9999999999974492E-5</v>
      </c>
      <c r="AK36">
        <f t="shared" si="5"/>
        <v>-3.4000000000000696E-4</v>
      </c>
      <c r="AL36">
        <f t="shared" si="5"/>
        <v>-2.9999999999974492E-5</v>
      </c>
      <c r="AM36">
        <f t="shared" si="5"/>
        <v>-6.0000000000004494E-5</v>
      </c>
      <c r="AO36" s="120">
        <f t="shared" si="7"/>
        <v>-3.4000000000000696E-4</v>
      </c>
      <c r="AP36" s="60">
        <f t="shared" si="8"/>
        <v>6.9999999999958984E-5</v>
      </c>
      <c r="AQ36" s="121">
        <f t="shared" si="9"/>
        <v>4.0999999999996595E-4</v>
      </c>
    </row>
    <row r="37" spans="1:43" x14ac:dyDescent="0.2">
      <c r="A37" s="32" t="s">
        <v>279</v>
      </c>
      <c r="B37">
        <f t="shared" ref="B37:P46" si="18">B13-C13</f>
        <v>-6.0000000000004494E-5</v>
      </c>
      <c r="C37">
        <f t="shared" si="18"/>
        <v>7.0000000000014495E-5</v>
      </c>
      <c r="D37">
        <f t="shared" si="18"/>
        <v>0</v>
      </c>
      <c r="E37">
        <f t="shared" si="18"/>
        <v>-4.0000000000040004E-5</v>
      </c>
      <c r="F37">
        <f t="shared" si="18"/>
        <v>6.0000000000004494E-5</v>
      </c>
      <c r="G37">
        <f t="shared" si="18"/>
        <v>2.0000000000020002E-5</v>
      </c>
      <c r="H37">
        <f t="shared" si="18"/>
        <v>-1.0000000000010001E-5</v>
      </c>
      <c r="I37">
        <f t="shared" si="18"/>
        <v>0</v>
      </c>
      <c r="J37">
        <f t="shared" si="18"/>
        <v>-2.0000000000020002E-5</v>
      </c>
      <c r="K37">
        <f t="shared" si="18"/>
        <v>0</v>
      </c>
      <c r="L37">
        <f t="shared" si="18"/>
        <v>0</v>
      </c>
      <c r="M37">
        <f t="shared" si="18"/>
        <v>-1.9999999999964491E-5</v>
      </c>
      <c r="N37">
        <f t="shared" si="18"/>
        <v>0</v>
      </c>
      <c r="O37">
        <f t="shared" si="18"/>
        <v>3.9999999999984492E-5</v>
      </c>
      <c r="P37">
        <f t="shared" si="18"/>
        <v>-2.0000000000020002E-5</v>
      </c>
      <c r="Q37">
        <f t="shared" ref="Q37:AF37" si="19">Q13-R13</f>
        <v>4.0000000000040004E-5</v>
      </c>
      <c r="R37">
        <f t="shared" si="19"/>
        <v>-3.0000000000030003E-5</v>
      </c>
      <c r="S37">
        <f t="shared" si="19"/>
        <v>-1.9999999999964491E-5</v>
      </c>
      <c r="T37">
        <f t="shared" si="19"/>
        <v>0</v>
      </c>
      <c r="U37">
        <f t="shared" si="19"/>
        <v>-3.0000000000030003E-5</v>
      </c>
      <c r="V37">
        <f t="shared" si="19"/>
        <v>4.9999999999994493E-5</v>
      </c>
      <c r="W37">
        <f t="shared" si="19"/>
        <v>-1.9999999999964491E-5</v>
      </c>
      <c r="X37">
        <f t="shared" si="19"/>
        <v>1.9999999999964491E-5</v>
      </c>
      <c r="Y37">
        <f t="shared" si="19"/>
        <v>2.0000000000020002E-5</v>
      </c>
      <c r="Z37">
        <f t="shared" si="19"/>
        <v>-2.0000000000020002E-5</v>
      </c>
      <c r="AA37">
        <f t="shared" si="19"/>
        <v>0</v>
      </c>
      <c r="AB37">
        <f t="shared" si="19"/>
        <v>-3.9999999999984492E-5</v>
      </c>
      <c r="AC37">
        <f t="shared" si="19"/>
        <v>0</v>
      </c>
      <c r="AD37">
        <f t="shared" si="19"/>
        <v>0</v>
      </c>
      <c r="AE37">
        <f t="shared" si="19"/>
        <v>0</v>
      </c>
      <c r="AF37">
        <f t="shared" si="19"/>
        <v>7.0000000000014495E-5</v>
      </c>
      <c r="AG37">
        <f t="shared" ref="AG37:AM46" si="20">AG13-AH13</f>
        <v>-4.0000000000040004E-5</v>
      </c>
      <c r="AH37">
        <f t="shared" si="20"/>
        <v>0</v>
      </c>
      <c r="AI37">
        <f t="shared" si="20"/>
        <v>2.0000000000020002E-5</v>
      </c>
      <c r="AJ37">
        <f t="shared" si="20"/>
        <v>-3.9999999999984492E-5</v>
      </c>
      <c r="AK37">
        <f t="shared" si="20"/>
        <v>4.9999999999994493E-5</v>
      </c>
      <c r="AL37">
        <f t="shared" si="20"/>
        <v>-3.0000000000030003E-5</v>
      </c>
      <c r="AM37">
        <f t="shared" si="20"/>
        <v>-2.9999999999974492E-5</v>
      </c>
      <c r="AO37" s="120">
        <f t="shared" si="7"/>
        <v>-4.0000000000040004E-5</v>
      </c>
      <c r="AP37" s="60">
        <f t="shared" si="8"/>
        <v>7.0000000000014495E-5</v>
      </c>
      <c r="AQ37" s="121">
        <f t="shared" si="9"/>
        <v>1.100000000000545E-4</v>
      </c>
    </row>
    <row r="38" spans="1:43" x14ac:dyDescent="0.2">
      <c r="A38" s="32" t="s">
        <v>280</v>
      </c>
      <c r="B38">
        <f t="shared" si="18"/>
        <v>1.9999999999992246E-5</v>
      </c>
      <c r="C38">
        <f t="shared" si="18"/>
        <v>-1.0000000000010001E-5</v>
      </c>
      <c r="D38">
        <f t="shared" si="18"/>
        <v>0</v>
      </c>
      <c r="E38">
        <f t="shared" si="18"/>
        <v>-9.9999999999822453E-6</v>
      </c>
      <c r="F38">
        <f t="shared" si="18"/>
        <v>9.9999999999822453E-6</v>
      </c>
      <c r="G38">
        <f t="shared" si="18"/>
        <v>0</v>
      </c>
      <c r="H38">
        <f t="shared" si="18"/>
        <v>-3.0000000000002247E-5</v>
      </c>
      <c r="I38">
        <f t="shared" si="18"/>
        <v>3.0000000000002247E-5</v>
      </c>
      <c r="J38">
        <f t="shared" si="18"/>
        <v>3.0000000000002247E-5</v>
      </c>
      <c r="K38">
        <f t="shared" si="18"/>
        <v>0</v>
      </c>
      <c r="L38">
        <f t="shared" si="18"/>
        <v>2.0000000000020002E-5</v>
      </c>
      <c r="M38">
        <f t="shared" si="18"/>
        <v>-3.0000000000002247E-5</v>
      </c>
      <c r="N38">
        <f t="shared" si="18"/>
        <v>1.9999999999992246E-5</v>
      </c>
      <c r="O38">
        <f t="shared" si="18"/>
        <v>1.0000000000010001E-5</v>
      </c>
      <c r="P38">
        <f t="shared" si="18"/>
        <v>9.9999999999822453E-6</v>
      </c>
      <c r="Q38">
        <f t="shared" ref="Q38:AF38" si="21">Q14-R14</f>
        <v>1.0000000000010001E-5</v>
      </c>
      <c r="R38">
        <f t="shared" si="21"/>
        <v>9.9999999999822453E-6</v>
      </c>
      <c r="S38">
        <f t="shared" si="21"/>
        <v>-5.9999999999976739E-5</v>
      </c>
      <c r="T38">
        <f t="shared" si="21"/>
        <v>-1.0000000000010001E-5</v>
      </c>
      <c r="U38">
        <f t="shared" si="21"/>
        <v>-1.0000000000010001E-5</v>
      </c>
      <c r="V38">
        <f t="shared" si="21"/>
        <v>2.0000000000020002E-5</v>
      </c>
      <c r="W38">
        <f t="shared" si="21"/>
        <v>-2.0000000000020002E-5</v>
      </c>
      <c r="X38">
        <f t="shared" si="21"/>
        <v>5.0000000000022249E-5</v>
      </c>
      <c r="Y38">
        <f t="shared" si="21"/>
        <v>-5.0000000000022249E-5</v>
      </c>
      <c r="Z38">
        <f t="shared" si="21"/>
        <v>1.8000000000001348E-4</v>
      </c>
      <c r="AA38">
        <f t="shared" si="21"/>
        <v>0</v>
      </c>
      <c r="AB38">
        <f t="shared" si="21"/>
        <v>-1.0000000000010001E-5</v>
      </c>
      <c r="AC38">
        <f t="shared" si="21"/>
        <v>0</v>
      </c>
      <c r="AD38">
        <f t="shared" si="21"/>
        <v>-9.9999999999822453E-6</v>
      </c>
      <c r="AE38">
        <f t="shared" si="21"/>
        <v>9.9999999999822453E-6</v>
      </c>
      <c r="AF38">
        <f t="shared" si="21"/>
        <v>1.0000000000010001E-5</v>
      </c>
      <c r="AG38">
        <f t="shared" si="20"/>
        <v>1.8999999999999573E-4</v>
      </c>
      <c r="AH38">
        <f t="shared" si="20"/>
        <v>6.9999999999986739E-5</v>
      </c>
      <c r="AI38">
        <f t="shared" si="20"/>
        <v>-2.9999999999974492E-5</v>
      </c>
      <c r="AJ38">
        <f t="shared" si="20"/>
        <v>1.0999999999999899E-4</v>
      </c>
      <c r="AK38">
        <f t="shared" si="20"/>
        <v>4.9999999999994493E-5</v>
      </c>
      <c r="AL38">
        <f t="shared" si="20"/>
        <v>2.8000000000000247E-4</v>
      </c>
      <c r="AM38">
        <f t="shared" si="20"/>
        <v>1.9999999999992246E-5</v>
      </c>
      <c r="AO38" s="120">
        <f t="shared" si="7"/>
        <v>-5.9999999999976739E-5</v>
      </c>
      <c r="AP38" s="60">
        <f t="shared" si="8"/>
        <v>2.8000000000000247E-4</v>
      </c>
      <c r="AQ38" s="121">
        <f t="shared" si="9"/>
        <v>3.3999999999997921E-4</v>
      </c>
    </row>
    <row r="39" spans="1:43" x14ac:dyDescent="0.2">
      <c r="A39" s="32" t="s">
        <v>282</v>
      </c>
      <c r="B39">
        <f t="shared" si="18"/>
        <v>-3.9999999999984492E-5</v>
      </c>
      <c r="C39">
        <f t="shared" si="18"/>
        <v>3.9999999999984492E-5</v>
      </c>
      <c r="D39">
        <f t="shared" si="18"/>
        <v>0</v>
      </c>
      <c r="E39">
        <f t="shared" si="18"/>
        <v>7.999999999999674E-5</v>
      </c>
      <c r="F39">
        <f t="shared" si="18"/>
        <v>-5.9999999999976739E-5</v>
      </c>
      <c r="G39">
        <f t="shared" si="18"/>
        <v>-1.0000000000010001E-5</v>
      </c>
      <c r="H39">
        <f t="shared" si="18"/>
        <v>1.9999999999992246E-5</v>
      </c>
      <c r="I39">
        <f t="shared" si="18"/>
        <v>7.0000000000014495E-5</v>
      </c>
      <c r="J39">
        <f t="shared" si="18"/>
        <v>-7.999999999999674E-5</v>
      </c>
      <c r="K39">
        <f t="shared" si="18"/>
        <v>-1.0000000000010001E-5</v>
      </c>
      <c r="L39">
        <f t="shared" si="18"/>
        <v>-1.0000000000010001E-5</v>
      </c>
      <c r="M39">
        <f t="shared" si="18"/>
        <v>4.9999999999994493E-5</v>
      </c>
      <c r="N39">
        <f t="shared" si="18"/>
        <v>-4.9999999999994493E-5</v>
      </c>
      <c r="O39">
        <f t="shared" si="18"/>
        <v>4.9999999999994493E-5</v>
      </c>
      <c r="P39">
        <f t="shared" si="18"/>
        <v>1.0000000000010001E-5</v>
      </c>
      <c r="Q39">
        <f t="shared" ref="Q39:AF39" si="22">Q15-R15</f>
        <v>-6.0000000000004494E-5</v>
      </c>
      <c r="R39">
        <f t="shared" si="22"/>
        <v>2.0000000000020002E-5</v>
      </c>
      <c r="S39">
        <f t="shared" si="22"/>
        <v>0</v>
      </c>
      <c r="T39">
        <f t="shared" si="22"/>
        <v>0</v>
      </c>
      <c r="U39">
        <f t="shared" si="22"/>
        <v>-6.0000000000004494E-5</v>
      </c>
      <c r="V39">
        <f t="shared" si="22"/>
        <v>3.0000000000002247E-5</v>
      </c>
      <c r="W39">
        <f t="shared" si="22"/>
        <v>3.0000000000002247E-5</v>
      </c>
      <c r="X39">
        <f t="shared" si="22"/>
        <v>1.9999999999992246E-5</v>
      </c>
      <c r="Y39">
        <f t="shared" si="22"/>
        <v>9.9999999999822453E-6</v>
      </c>
      <c r="Z39">
        <f t="shared" si="22"/>
        <v>-5.9999999999976739E-5</v>
      </c>
      <c r="AA39">
        <f t="shared" si="22"/>
        <v>-2.0000000000020002E-5</v>
      </c>
      <c r="AB39">
        <f t="shared" si="22"/>
        <v>-3.0000000000002247E-5</v>
      </c>
      <c r="AC39">
        <f t="shared" si="22"/>
        <v>0</v>
      </c>
      <c r="AD39">
        <f t="shared" si="22"/>
        <v>0</v>
      </c>
      <c r="AE39">
        <f t="shared" si="22"/>
        <v>1.0000000000010001E-5</v>
      </c>
      <c r="AF39">
        <f t="shared" si="22"/>
        <v>3.4999999999998921E-4</v>
      </c>
      <c r="AG39">
        <f t="shared" si="20"/>
        <v>-2.0999999999998797E-4</v>
      </c>
      <c r="AH39">
        <f t="shared" si="20"/>
        <v>4.0000000000012248E-5</v>
      </c>
      <c r="AI39">
        <f t="shared" si="20"/>
        <v>-4.0000000000012248E-5</v>
      </c>
      <c r="AJ39">
        <f t="shared" si="20"/>
        <v>-6.9999999999986739E-5</v>
      </c>
      <c r="AK39">
        <f t="shared" si="20"/>
        <v>-2.0000000000020002E-5</v>
      </c>
      <c r="AL39">
        <f t="shared" si="20"/>
        <v>-2.5000000000000022E-4</v>
      </c>
      <c r="AM39">
        <f t="shared" si="20"/>
        <v>-6.0000000000004494E-5</v>
      </c>
      <c r="AO39" s="120">
        <f t="shared" si="7"/>
        <v>-2.5000000000000022E-4</v>
      </c>
      <c r="AP39" s="60">
        <f t="shared" si="8"/>
        <v>3.4999999999998921E-4</v>
      </c>
      <c r="AQ39" s="121">
        <f t="shared" si="9"/>
        <v>5.9999999999998943E-4</v>
      </c>
    </row>
    <row r="40" spans="1:43" x14ac:dyDescent="0.2">
      <c r="A40" s="32" t="s">
        <v>283</v>
      </c>
      <c r="B40">
        <f t="shared" si="18"/>
        <v>-7.999999999999674E-5</v>
      </c>
      <c r="C40">
        <f t="shared" si="18"/>
        <v>1.9999999999992246E-5</v>
      </c>
      <c r="D40">
        <f t="shared" si="18"/>
        <v>1.9999999999992246E-5</v>
      </c>
      <c r="E40">
        <f t="shared" si="18"/>
        <v>0</v>
      </c>
      <c r="F40">
        <f t="shared" si="18"/>
        <v>3.0000000000002247E-5</v>
      </c>
      <c r="G40">
        <f t="shared" si="18"/>
        <v>1.9999999999992246E-5</v>
      </c>
      <c r="H40">
        <f t="shared" si="18"/>
        <v>-3.9999999999984492E-5</v>
      </c>
      <c r="I40">
        <f t="shared" si="18"/>
        <v>-1.0000000000001674E-4</v>
      </c>
      <c r="J40">
        <f t="shared" si="18"/>
        <v>1.0000000000010001E-5</v>
      </c>
      <c r="K40">
        <f t="shared" si="18"/>
        <v>-4.0000000000012248E-5</v>
      </c>
      <c r="L40">
        <f t="shared" si="18"/>
        <v>-9.9999999999822453E-6</v>
      </c>
      <c r="M40">
        <f t="shared" si="18"/>
        <v>-1.9999999999992246E-5</v>
      </c>
      <c r="N40">
        <f t="shared" si="18"/>
        <v>2.9999999999974492E-5</v>
      </c>
      <c r="O40">
        <f t="shared" si="18"/>
        <v>-9.9999999999822453E-6</v>
      </c>
      <c r="P40">
        <f t="shared" si="18"/>
        <v>1.9999999999992246E-5</v>
      </c>
      <c r="Q40">
        <f t="shared" ref="Q40:AF40" si="23">Q16-R16</f>
        <v>6.0000000000004494E-5</v>
      </c>
      <c r="R40">
        <f t="shared" si="23"/>
        <v>-1.9999999999992246E-5</v>
      </c>
      <c r="S40">
        <f t="shared" si="23"/>
        <v>-6.0000000000004494E-5</v>
      </c>
      <c r="T40">
        <f t="shared" si="23"/>
        <v>-1.0000000000010001E-5</v>
      </c>
      <c r="U40">
        <f t="shared" si="23"/>
        <v>1.9999999999992246E-5</v>
      </c>
      <c r="V40">
        <f t="shared" si="23"/>
        <v>0</v>
      </c>
      <c r="W40">
        <f t="shared" si="23"/>
        <v>-1.9999999999992246E-5</v>
      </c>
      <c r="X40">
        <f t="shared" si="23"/>
        <v>4.0000000000012248E-5</v>
      </c>
      <c r="Y40">
        <f t="shared" si="23"/>
        <v>3.9999999999984492E-5</v>
      </c>
      <c r="Z40">
        <f t="shared" si="23"/>
        <v>-8.9999999999978986E-5</v>
      </c>
      <c r="AA40">
        <f t="shared" si="23"/>
        <v>-3.0000000000002247E-5</v>
      </c>
      <c r="AB40">
        <f t="shared" si="23"/>
        <v>-2.0000000000020002E-5</v>
      </c>
      <c r="AC40">
        <f t="shared" si="23"/>
        <v>-3.9999999999984492E-5</v>
      </c>
      <c r="AD40">
        <f t="shared" si="23"/>
        <v>9.9999999999822453E-6</v>
      </c>
      <c r="AE40">
        <f t="shared" si="23"/>
        <v>2.0000000000020002E-5</v>
      </c>
      <c r="AF40">
        <f t="shared" si="23"/>
        <v>-3.2999999999999696E-4</v>
      </c>
      <c r="AG40">
        <f t="shared" si="20"/>
        <v>-1.4000000000000123E-4</v>
      </c>
      <c r="AH40">
        <f t="shared" si="20"/>
        <v>1.1999999999998123E-4</v>
      </c>
      <c r="AI40">
        <f t="shared" si="20"/>
        <v>-3.0000000000002247E-5</v>
      </c>
      <c r="AJ40">
        <f t="shared" si="20"/>
        <v>6.0000000000004494E-5</v>
      </c>
      <c r="AK40">
        <f t="shared" si="20"/>
        <v>7.999999999999674E-5</v>
      </c>
      <c r="AL40">
        <f t="shared" si="20"/>
        <v>-4.9999999999994493E-5</v>
      </c>
      <c r="AM40">
        <f t="shared" si="20"/>
        <v>-9.9999999999988987E-5</v>
      </c>
      <c r="AO40" s="120">
        <f t="shared" si="7"/>
        <v>-3.2999999999999696E-4</v>
      </c>
      <c r="AP40" s="60">
        <f t="shared" si="8"/>
        <v>1.1999999999998123E-4</v>
      </c>
      <c r="AQ40" s="121">
        <f t="shared" si="9"/>
        <v>4.499999999999782E-4</v>
      </c>
    </row>
    <row r="41" spans="1:43" x14ac:dyDescent="0.2">
      <c r="A41" s="32" t="s">
        <v>284</v>
      </c>
      <c r="B41">
        <f t="shared" si="18"/>
        <v>-4.0000000000012248E-5</v>
      </c>
      <c r="C41">
        <f t="shared" si="18"/>
        <v>7.999999999999674E-5</v>
      </c>
      <c r="D41">
        <f t="shared" si="18"/>
        <v>0</v>
      </c>
      <c r="E41">
        <f t="shared" si="18"/>
        <v>3.0000000000002247E-5</v>
      </c>
      <c r="F41">
        <f t="shared" si="18"/>
        <v>-9.9999999999822453E-6</v>
      </c>
      <c r="G41">
        <f t="shared" si="18"/>
        <v>9.9999999999822453E-6</v>
      </c>
      <c r="H41">
        <f t="shared" si="18"/>
        <v>-1.9999999999992246E-5</v>
      </c>
      <c r="I41">
        <f t="shared" si="18"/>
        <v>4.9999999999994493E-5</v>
      </c>
      <c r="J41">
        <f t="shared" si="18"/>
        <v>-6.9999999999986739E-5</v>
      </c>
      <c r="K41">
        <f t="shared" si="18"/>
        <v>-1.0000000000010001E-5</v>
      </c>
      <c r="L41">
        <f t="shared" si="18"/>
        <v>-1.0000000000010001E-5</v>
      </c>
      <c r="M41">
        <f t="shared" si="18"/>
        <v>0</v>
      </c>
      <c r="N41">
        <f t="shared" si="18"/>
        <v>3.0000000000002247E-5</v>
      </c>
      <c r="O41">
        <f t="shared" si="18"/>
        <v>1.0000000000010001E-5</v>
      </c>
      <c r="P41">
        <f t="shared" si="18"/>
        <v>1.0000000000010001E-5</v>
      </c>
      <c r="Q41">
        <f t="shared" ref="Q41:AF41" si="24">Q17-R17</f>
        <v>-1.0000000000010001E-5</v>
      </c>
      <c r="R41">
        <f t="shared" si="24"/>
        <v>-1.9999999999992246E-5</v>
      </c>
      <c r="S41">
        <f t="shared" si="24"/>
        <v>5.9999999999976739E-5</v>
      </c>
      <c r="T41">
        <f t="shared" si="24"/>
        <v>-5.9999999999976739E-5</v>
      </c>
      <c r="U41">
        <f t="shared" si="24"/>
        <v>8.9999999999978986E-5</v>
      </c>
      <c r="V41">
        <f t="shared" si="24"/>
        <v>-1.4999999999998348E-4</v>
      </c>
      <c r="W41">
        <f t="shared" si="24"/>
        <v>6.0000000000004494E-5</v>
      </c>
      <c r="X41">
        <f t="shared" si="24"/>
        <v>5.3999999999998494E-4</v>
      </c>
      <c r="Y41">
        <f t="shared" si="24"/>
        <v>-4.8999999999999044E-4</v>
      </c>
      <c r="Z41">
        <f t="shared" si="24"/>
        <v>1.4000000000000123E-4</v>
      </c>
      <c r="AA41">
        <f t="shared" si="24"/>
        <v>-1.0000000000010001E-5</v>
      </c>
      <c r="AB41">
        <f t="shared" si="24"/>
        <v>-1.9999999999992246E-5</v>
      </c>
      <c r="AC41">
        <f t="shared" si="24"/>
        <v>0</v>
      </c>
      <c r="AD41">
        <f t="shared" si="24"/>
        <v>-1.9999999999992246E-5</v>
      </c>
      <c r="AE41">
        <f t="shared" si="24"/>
        <v>-8.0000000000024496E-5</v>
      </c>
      <c r="AF41">
        <f t="shared" si="24"/>
        <v>1.0999999999999899E-4</v>
      </c>
      <c r="AG41">
        <f t="shared" si="20"/>
        <v>9.0000000000006741E-5</v>
      </c>
      <c r="AH41">
        <f t="shared" si="20"/>
        <v>-7.999999999999674E-5</v>
      </c>
      <c r="AI41">
        <f t="shared" si="20"/>
        <v>3.0000000000002247E-5</v>
      </c>
      <c r="AJ41">
        <f t="shared" si="20"/>
        <v>-1.5000000000001124E-4</v>
      </c>
      <c r="AK41">
        <f t="shared" si="20"/>
        <v>6.0000000000004494E-5</v>
      </c>
      <c r="AL41">
        <f t="shared" si="20"/>
        <v>9.0000000000006741E-5</v>
      </c>
      <c r="AM41">
        <f t="shared" si="20"/>
        <v>2.3999999999999022E-4</v>
      </c>
      <c r="AO41" s="120">
        <f t="shared" si="7"/>
        <v>-4.8999999999999044E-4</v>
      </c>
      <c r="AP41" s="60">
        <f t="shared" si="8"/>
        <v>5.3999999999998494E-4</v>
      </c>
      <c r="AQ41" s="121">
        <f t="shared" si="9"/>
        <v>1.0299999999999754E-3</v>
      </c>
    </row>
    <row r="42" spans="1:43" x14ac:dyDescent="0.2">
      <c r="A42" s="32" t="s">
        <v>285</v>
      </c>
      <c r="B42">
        <f t="shared" si="18"/>
        <v>-7.999999999999674E-5</v>
      </c>
      <c r="C42">
        <f t="shared" si="18"/>
        <v>1.9999999999992246E-5</v>
      </c>
      <c r="D42">
        <f t="shared" si="18"/>
        <v>1.9999999999992246E-5</v>
      </c>
      <c r="E42">
        <f t="shared" si="18"/>
        <v>1.0000000000010001E-5</v>
      </c>
      <c r="F42">
        <f t="shared" si="18"/>
        <v>-1.9999999999992246E-5</v>
      </c>
      <c r="G42">
        <f t="shared" si="18"/>
        <v>4.9999999999994493E-5</v>
      </c>
      <c r="H42">
        <f t="shared" si="18"/>
        <v>-1.9999999999992246E-5</v>
      </c>
      <c r="I42">
        <f t="shared" si="18"/>
        <v>-4.0000000000012248E-5</v>
      </c>
      <c r="J42">
        <f t="shared" si="18"/>
        <v>9.0000000000006741E-5</v>
      </c>
      <c r="K42">
        <f t="shared" si="18"/>
        <v>-3.0000000000002247E-5</v>
      </c>
      <c r="L42">
        <f t="shared" si="18"/>
        <v>-1.9999999999992246E-5</v>
      </c>
      <c r="M42">
        <f t="shared" si="18"/>
        <v>3.9999999999984492E-5</v>
      </c>
      <c r="N42">
        <f t="shared" si="18"/>
        <v>-8.9999999999978986E-5</v>
      </c>
      <c r="O42">
        <f t="shared" si="18"/>
        <v>1.0999999999999899E-4</v>
      </c>
      <c r="P42">
        <f t="shared" si="18"/>
        <v>9.9999999999822453E-6</v>
      </c>
      <c r="Q42">
        <f t="shared" ref="Q42:AF42" si="25">Q18-R18</f>
        <v>3.0000000000002247E-5</v>
      </c>
      <c r="R42">
        <f t="shared" si="25"/>
        <v>-7.999999999999674E-5</v>
      </c>
      <c r="S42">
        <f t="shared" si="25"/>
        <v>-3.0000000000002247E-5</v>
      </c>
      <c r="T42">
        <f t="shared" si="25"/>
        <v>-1.9999999999992246E-5</v>
      </c>
      <c r="U42">
        <f t="shared" si="25"/>
        <v>-7.999999999999674E-5</v>
      </c>
      <c r="V42">
        <f t="shared" si="25"/>
        <v>9.9999999999988987E-5</v>
      </c>
      <c r="W42">
        <f t="shared" si="25"/>
        <v>1.9999999999992246E-5</v>
      </c>
      <c r="X42">
        <f t="shared" si="25"/>
        <v>-4.3999999999999595E-4</v>
      </c>
      <c r="Y42">
        <f t="shared" si="25"/>
        <v>4.699999999999982E-4</v>
      </c>
      <c r="Z42">
        <f t="shared" si="25"/>
        <v>-1.5999999999999348E-4</v>
      </c>
      <c r="AA42">
        <f t="shared" si="25"/>
        <v>-6.0000000000004494E-5</v>
      </c>
      <c r="AB42">
        <f t="shared" si="25"/>
        <v>1.0000000000010001E-5</v>
      </c>
      <c r="AC42">
        <f t="shared" si="25"/>
        <v>0</v>
      </c>
      <c r="AD42">
        <f t="shared" si="25"/>
        <v>-1.9999999999992246E-5</v>
      </c>
      <c r="AE42">
        <f t="shared" si="25"/>
        <v>9.9999999999988987E-5</v>
      </c>
      <c r="AF42">
        <f t="shared" si="25"/>
        <v>-4.9999999999994493E-5</v>
      </c>
      <c r="AG42">
        <f t="shared" si="20"/>
        <v>-1.0000000000001674E-4</v>
      </c>
      <c r="AH42">
        <f t="shared" si="20"/>
        <v>1.4000000000000123E-4</v>
      </c>
      <c r="AI42">
        <f t="shared" si="20"/>
        <v>-1.0999999999999899E-4</v>
      </c>
      <c r="AJ42">
        <f t="shared" si="20"/>
        <v>-9.9999999999822453E-6</v>
      </c>
      <c r="AK42">
        <f t="shared" si="20"/>
        <v>6.0000000000004494E-5</v>
      </c>
      <c r="AL42">
        <f t="shared" si="20"/>
        <v>-9.0000000000006741E-5</v>
      </c>
      <c r="AM42">
        <f t="shared" si="20"/>
        <v>-2.9000000000001247E-4</v>
      </c>
      <c r="AO42" s="120">
        <f t="shared" si="7"/>
        <v>-4.3999999999999595E-4</v>
      </c>
      <c r="AP42" s="60">
        <f t="shared" si="8"/>
        <v>4.699999999999982E-4</v>
      </c>
      <c r="AQ42" s="121">
        <f t="shared" si="9"/>
        <v>9.0999999999999415E-4</v>
      </c>
    </row>
    <row r="43" spans="1:43" x14ac:dyDescent="0.2">
      <c r="A43" s="32" t="s">
        <v>286</v>
      </c>
      <c r="B43">
        <f t="shared" si="18"/>
        <v>-4.9999999999994493E-5</v>
      </c>
      <c r="C43">
        <f t="shared" si="18"/>
        <v>1.0000000000010001E-5</v>
      </c>
      <c r="D43">
        <f t="shared" si="18"/>
        <v>3.9999999999984492E-5</v>
      </c>
      <c r="E43">
        <f t="shared" si="18"/>
        <v>-1.9999999999992246E-5</v>
      </c>
      <c r="F43">
        <f t="shared" si="18"/>
        <v>3.9999999999984492E-5</v>
      </c>
      <c r="G43">
        <f t="shared" si="18"/>
        <v>-9.9999999999822453E-6</v>
      </c>
      <c r="H43">
        <f t="shared" si="18"/>
        <v>1.9999999999992246E-5</v>
      </c>
      <c r="I43">
        <f t="shared" si="18"/>
        <v>3.0000000000002247E-5</v>
      </c>
      <c r="J43">
        <f t="shared" si="18"/>
        <v>-1.2000000000000899E-4</v>
      </c>
      <c r="K43">
        <f t="shared" si="18"/>
        <v>-1.9999999999992246E-5</v>
      </c>
      <c r="L43">
        <f t="shared" si="18"/>
        <v>1.0000000000010001E-5</v>
      </c>
      <c r="M43">
        <f t="shared" si="18"/>
        <v>-4.9999999999994493E-5</v>
      </c>
      <c r="N43">
        <f t="shared" si="18"/>
        <v>6.9999999999986739E-5</v>
      </c>
      <c r="O43">
        <f t="shared" si="18"/>
        <v>-1.9999999999992246E-5</v>
      </c>
      <c r="P43">
        <f t="shared" si="18"/>
        <v>-2.0000000000020002E-5</v>
      </c>
      <c r="Q43">
        <f t="shared" ref="Q43:AF43" si="26">Q19-R19</f>
        <v>-9.9999999999822453E-6</v>
      </c>
      <c r="R43">
        <f t="shared" si="26"/>
        <v>6.0000000000004494E-5</v>
      </c>
      <c r="S43">
        <f t="shared" si="26"/>
        <v>-6.0000000000004494E-5</v>
      </c>
      <c r="T43">
        <f t="shared" si="26"/>
        <v>-1.0000000000010001E-5</v>
      </c>
      <c r="U43">
        <f t="shared" si="26"/>
        <v>1.9999999999992246E-5</v>
      </c>
      <c r="V43">
        <f t="shared" si="26"/>
        <v>3.0000000000002247E-5</v>
      </c>
      <c r="W43">
        <f t="shared" si="26"/>
        <v>-6.9999999999986739E-5</v>
      </c>
      <c r="X43">
        <f t="shared" si="26"/>
        <v>1.9999999999992246E-5</v>
      </c>
      <c r="Y43">
        <f t="shared" si="26"/>
        <v>7.0000000000014495E-5</v>
      </c>
      <c r="Z43">
        <f t="shared" si="26"/>
        <v>-1.0000000000010001E-5</v>
      </c>
      <c r="AA43">
        <f t="shared" si="26"/>
        <v>0</v>
      </c>
      <c r="AB43">
        <f t="shared" si="26"/>
        <v>-4.9999999999994493E-5</v>
      </c>
      <c r="AC43">
        <f t="shared" si="26"/>
        <v>-1.9999999999992246E-5</v>
      </c>
      <c r="AD43">
        <f t="shared" si="26"/>
        <v>2.9999999999974492E-5</v>
      </c>
      <c r="AE43">
        <f t="shared" si="26"/>
        <v>-4.9999999999994493E-5</v>
      </c>
      <c r="AF43">
        <f t="shared" si="26"/>
        <v>1.0600000000000054E-3</v>
      </c>
      <c r="AG43">
        <f t="shared" si="20"/>
        <v>-7.999999999999674E-5</v>
      </c>
      <c r="AH43">
        <f t="shared" si="20"/>
        <v>9.0000000000006741E-5</v>
      </c>
      <c r="AI43">
        <f t="shared" si="20"/>
        <v>-6.0000000000004494E-5</v>
      </c>
      <c r="AJ43">
        <f t="shared" si="20"/>
        <v>-1.9999999999992246E-5</v>
      </c>
      <c r="AK43">
        <f t="shared" si="20"/>
        <v>7.999999999999674E-5</v>
      </c>
      <c r="AL43">
        <f t="shared" si="20"/>
        <v>1.9999999999992246E-5</v>
      </c>
      <c r="AM43">
        <f t="shared" si="20"/>
        <v>-7.0000000000014495E-5</v>
      </c>
      <c r="AO43" s="120">
        <f t="shared" si="7"/>
        <v>-1.2000000000000899E-4</v>
      </c>
      <c r="AP43" s="60">
        <f t="shared" si="8"/>
        <v>1.0600000000000054E-3</v>
      </c>
      <c r="AQ43" s="121">
        <f t="shared" si="9"/>
        <v>1.1800000000000144E-3</v>
      </c>
    </row>
    <row r="44" spans="1:43" x14ac:dyDescent="0.2">
      <c r="A44" s="32" t="s">
        <v>287</v>
      </c>
      <c r="B44">
        <f t="shared" si="18"/>
        <v>-4.0000000000012248E-5</v>
      </c>
      <c r="C44">
        <f t="shared" si="18"/>
        <v>0</v>
      </c>
      <c r="D44">
        <f t="shared" si="18"/>
        <v>-1.0000000000010001E-5</v>
      </c>
      <c r="E44">
        <f t="shared" si="18"/>
        <v>6.0000000000004494E-5</v>
      </c>
      <c r="F44">
        <f t="shared" si="18"/>
        <v>-3.0000000000002247E-5</v>
      </c>
      <c r="G44">
        <f t="shared" si="18"/>
        <v>1.0000000000010001E-5</v>
      </c>
      <c r="H44">
        <f t="shared" si="18"/>
        <v>-4.9999999999994493E-5</v>
      </c>
      <c r="I44">
        <f t="shared" si="18"/>
        <v>9.9999999999822453E-6</v>
      </c>
      <c r="J44">
        <f t="shared" si="18"/>
        <v>4.0000000000012248E-5</v>
      </c>
      <c r="K44">
        <f t="shared" si="18"/>
        <v>-6.0000000000004494E-5</v>
      </c>
      <c r="L44">
        <f t="shared" si="18"/>
        <v>-6.0000000000004494E-5</v>
      </c>
      <c r="M44">
        <f t="shared" si="18"/>
        <v>4.0000000000012248E-5</v>
      </c>
      <c r="N44">
        <f t="shared" si="18"/>
        <v>-1.9999999999992246E-5</v>
      </c>
      <c r="O44">
        <f t="shared" si="18"/>
        <v>-2.0000000000020002E-5</v>
      </c>
      <c r="P44">
        <f t="shared" si="18"/>
        <v>1.2000000000000899E-4</v>
      </c>
      <c r="Q44">
        <f t="shared" ref="Q44:AF44" si="27">Q20-R20</f>
        <v>-1.9999999999992246E-5</v>
      </c>
      <c r="R44">
        <f t="shared" si="27"/>
        <v>-2.0000000000020002E-5</v>
      </c>
      <c r="S44">
        <f t="shared" si="27"/>
        <v>4.0000000000012248E-5</v>
      </c>
      <c r="T44">
        <f t="shared" si="27"/>
        <v>-7.0000000000014495E-5</v>
      </c>
      <c r="U44">
        <f t="shared" si="27"/>
        <v>-1.9999999999992246E-5</v>
      </c>
      <c r="V44">
        <f t="shared" si="27"/>
        <v>1.9999999999992246E-5</v>
      </c>
      <c r="W44">
        <f t="shared" si="27"/>
        <v>5.0000000000022249E-5</v>
      </c>
      <c r="X44">
        <f t="shared" si="27"/>
        <v>9.9999999999822453E-6</v>
      </c>
      <c r="Y44">
        <f t="shared" si="27"/>
        <v>1.0000000000010001E-5</v>
      </c>
      <c r="Z44">
        <f t="shared" si="27"/>
        <v>-1.9999999999992246E-5</v>
      </c>
      <c r="AA44">
        <f t="shared" si="27"/>
        <v>-3.0000000000002247E-5</v>
      </c>
      <c r="AB44">
        <f t="shared" si="27"/>
        <v>3.0000000000002247E-5</v>
      </c>
      <c r="AC44">
        <f t="shared" si="27"/>
        <v>-6.0000000000004494E-5</v>
      </c>
      <c r="AD44">
        <f t="shared" si="27"/>
        <v>-4.9999999999994493E-5</v>
      </c>
      <c r="AE44">
        <f t="shared" si="27"/>
        <v>1.9999999999992246E-5</v>
      </c>
      <c r="AF44">
        <f t="shared" si="27"/>
        <v>-9.000000000000119E-4</v>
      </c>
      <c r="AG44">
        <f t="shared" si="20"/>
        <v>-3.0000000000002247E-5</v>
      </c>
      <c r="AH44">
        <f t="shared" si="20"/>
        <v>1.0000000000010001E-5</v>
      </c>
      <c r="AI44">
        <f t="shared" si="20"/>
        <v>4.0000000000012248E-5</v>
      </c>
      <c r="AJ44">
        <f t="shared" si="20"/>
        <v>-1.0000000000001674E-4</v>
      </c>
      <c r="AK44">
        <f t="shared" si="20"/>
        <v>1.0000000000001674E-4</v>
      </c>
      <c r="AL44">
        <f t="shared" si="20"/>
        <v>9.9999999999822453E-6</v>
      </c>
      <c r="AM44">
        <f t="shared" si="20"/>
        <v>-7.999999999999674E-5</v>
      </c>
      <c r="AO44" s="120">
        <f t="shared" si="7"/>
        <v>-9.000000000000119E-4</v>
      </c>
      <c r="AP44" s="60">
        <f t="shared" si="8"/>
        <v>1.2000000000000899E-4</v>
      </c>
      <c r="AQ44" s="121">
        <f t="shared" si="9"/>
        <v>1.0200000000000209E-3</v>
      </c>
    </row>
    <row r="45" spans="1:43" x14ac:dyDescent="0.2">
      <c r="A45" s="32" t="s">
        <v>288</v>
      </c>
      <c r="B45">
        <f t="shared" si="18"/>
        <v>-1.8000000000001348E-4</v>
      </c>
      <c r="C45">
        <f t="shared" si="18"/>
        <v>1.0000000000001674E-4</v>
      </c>
      <c r="D45">
        <f t="shared" si="18"/>
        <v>6.9999999999986739E-5</v>
      </c>
      <c r="E45">
        <f t="shared" si="18"/>
        <v>0</v>
      </c>
      <c r="F45">
        <f t="shared" si="18"/>
        <v>-1.9999999999992246E-5</v>
      </c>
      <c r="G45">
        <f t="shared" si="18"/>
        <v>0</v>
      </c>
      <c r="H45">
        <f t="shared" si="18"/>
        <v>-1.0000000000010001E-5</v>
      </c>
      <c r="I45">
        <f t="shared" si="18"/>
        <v>-1.9999999999992246E-5</v>
      </c>
      <c r="J45">
        <f t="shared" si="18"/>
        <v>-9.9999999999822453E-6</v>
      </c>
      <c r="K45">
        <f t="shared" si="18"/>
        <v>0</v>
      </c>
      <c r="L45">
        <f t="shared" si="18"/>
        <v>2.9999999999974492E-5</v>
      </c>
      <c r="M45">
        <f t="shared" si="18"/>
        <v>-6.9999999999986739E-5</v>
      </c>
      <c r="N45">
        <f t="shared" si="18"/>
        <v>9.9999999999988987E-5</v>
      </c>
      <c r="O45">
        <f t="shared" si="18"/>
        <v>-3.9999999999984492E-5</v>
      </c>
      <c r="P45">
        <f t="shared" si="18"/>
        <v>-7.0000000000014495E-5</v>
      </c>
      <c r="Q45">
        <f t="shared" ref="Q45:AF45" si="28">Q21-R21</f>
        <v>1.3000000000001899E-4</v>
      </c>
      <c r="R45">
        <f t="shared" si="28"/>
        <v>4.9999999999994493E-5</v>
      </c>
      <c r="S45">
        <f t="shared" si="28"/>
        <v>-1.2000000000000899E-4</v>
      </c>
      <c r="T45">
        <f t="shared" si="28"/>
        <v>-9.9999999999822453E-6</v>
      </c>
      <c r="U45">
        <f t="shared" si="28"/>
        <v>-9.0000000000006741E-5</v>
      </c>
      <c r="V45">
        <f t="shared" si="28"/>
        <v>1.9999999999992246E-5</v>
      </c>
      <c r="W45">
        <f t="shared" si="28"/>
        <v>4.9999999999994493E-5</v>
      </c>
      <c r="X45">
        <f t="shared" si="28"/>
        <v>1.0000000000010001E-5</v>
      </c>
      <c r="Y45">
        <f t="shared" si="28"/>
        <v>4.9999999999994493E-5</v>
      </c>
      <c r="Z45">
        <f t="shared" si="28"/>
        <v>1.0000000000010001E-5</v>
      </c>
      <c r="AA45">
        <f t="shared" si="28"/>
        <v>3.0000000000002247E-5</v>
      </c>
      <c r="AB45">
        <f t="shared" si="28"/>
        <v>-1.5000000000001124E-4</v>
      </c>
      <c r="AC45">
        <f t="shared" si="28"/>
        <v>6.0000000000004494E-5</v>
      </c>
      <c r="AD45">
        <f t="shared" si="28"/>
        <v>-1.0000000000010001E-5</v>
      </c>
      <c r="AE45">
        <f t="shared" si="28"/>
        <v>0</v>
      </c>
      <c r="AF45">
        <f t="shared" si="28"/>
        <v>0</v>
      </c>
      <c r="AG45">
        <f t="shared" si="20"/>
        <v>0</v>
      </c>
      <c r="AH45">
        <f t="shared" si="20"/>
        <v>4.9999999999994493E-5</v>
      </c>
      <c r="AI45">
        <f t="shared" si="20"/>
        <v>-1.6999999999997573E-4</v>
      </c>
      <c r="AJ45">
        <f t="shared" si="20"/>
        <v>1.0999999999999899E-4</v>
      </c>
      <c r="AK45">
        <f t="shared" si="20"/>
        <v>5.9999999999976739E-5</v>
      </c>
      <c r="AL45">
        <f t="shared" si="20"/>
        <v>-1.9999999999992246E-5</v>
      </c>
      <c r="AM45">
        <f t="shared" si="20"/>
        <v>-1.9999999999992246E-5</v>
      </c>
      <c r="AO45" s="120">
        <f t="shared" si="7"/>
        <v>-1.6999999999997573E-4</v>
      </c>
      <c r="AP45" s="60">
        <f t="shared" si="8"/>
        <v>1.3000000000001899E-4</v>
      </c>
      <c r="AQ45" s="121">
        <f t="shared" si="9"/>
        <v>2.9999999999999472E-4</v>
      </c>
    </row>
    <row r="46" spans="1:43" ht="15.75" thickBot="1" x14ac:dyDescent="0.25">
      <c r="A46" s="32" t="s">
        <v>289</v>
      </c>
      <c r="B46">
        <f t="shared" si="18"/>
        <v>-9.0000000000006741E-5</v>
      </c>
      <c r="C46">
        <f t="shared" si="18"/>
        <v>7.999999999999674E-5</v>
      </c>
      <c r="D46">
        <f t="shared" si="18"/>
        <v>1.9999999999992246E-5</v>
      </c>
      <c r="E46">
        <f t="shared" si="18"/>
        <v>2.0000000000020002E-5</v>
      </c>
      <c r="F46">
        <f t="shared" si="18"/>
        <v>6.0000000000004494E-5</v>
      </c>
      <c r="G46">
        <f t="shared" si="18"/>
        <v>-5.0000000000022249E-5</v>
      </c>
      <c r="H46">
        <f t="shared" si="18"/>
        <v>2.0000000000020002E-5</v>
      </c>
      <c r="I46">
        <f t="shared" si="18"/>
        <v>1.9999999999992246E-5</v>
      </c>
      <c r="J46">
        <f t="shared" si="18"/>
        <v>-4.0000000000012248E-5</v>
      </c>
      <c r="K46">
        <f t="shared" si="18"/>
        <v>-6.0000000000004494E-5</v>
      </c>
      <c r="L46">
        <f t="shared" si="18"/>
        <v>-2.9999999999974492E-5</v>
      </c>
      <c r="M46">
        <f t="shared" si="18"/>
        <v>-1.0000000000010001E-5</v>
      </c>
      <c r="N46">
        <f t="shared" si="18"/>
        <v>-3.0000000000002247E-5</v>
      </c>
      <c r="O46">
        <f t="shared" si="18"/>
        <v>9.9999999999988987E-5</v>
      </c>
      <c r="P46">
        <f t="shared" si="18"/>
        <v>1.0000000000010001E-5</v>
      </c>
      <c r="Q46">
        <f t="shared" ref="Q46:AF46" si="29">Q22-R22</f>
        <v>0</v>
      </c>
      <c r="R46">
        <f t="shared" si="29"/>
        <v>-1.0000000000010001E-5</v>
      </c>
      <c r="S46">
        <f t="shared" si="29"/>
        <v>4.0000000000012248E-5</v>
      </c>
      <c r="T46">
        <f t="shared" si="29"/>
        <v>-1.5000000000001124E-4</v>
      </c>
      <c r="U46">
        <f t="shared" si="29"/>
        <v>-4.9999999999994493E-5</v>
      </c>
      <c r="V46">
        <f t="shared" si="29"/>
        <v>9.0000000000006741E-5</v>
      </c>
      <c r="W46">
        <f t="shared" si="29"/>
        <v>-6.0000000000004494E-5</v>
      </c>
      <c r="X46">
        <f t="shared" si="29"/>
        <v>1.5000000000001124E-4</v>
      </c>
      <c r="Y46">
        <f t="shared" si="29"/>
        <v>9.9999999999822453E-6</v>
      </c>
      <c r="Z46">
        <f t="shared" si="29"/>
        <v>-3.0000000000002247E-5</v>
      </c>
      <c r="AA46">
        <f t="shared" si="29"/>
        <v>-1.1999999999998123E-4</v>
      </c>
      <c r="AB46">
        <f t="shared" si="29"/>
        <v>6.9999999999986739E-5</v>
      </c>
      <c r="AC46">
        <f t="shared" si="29"/>
        <v>3.0000000000002247E-5</v>
      </c>
      <c r="AD46">
        <f t="shared" si="29"/>
        <v>-1.9999999999992246E-5</v>
      </c>
      <c r="AE46">
        <f t="shared" si="29"/>
        <v>-3.0000000000002247E-5</v>
      </c>
      <c r="AF46">
        <f t="shared" si="29"/>
        <v>6.9999999999986739E-5</v>
      </c>
      <c r="AG46">
        <f t="shared" si="20"/>
        <v>-4.9999999999994493E-5</v>
      </c>
      <c r="AH46">
        <f t="shared" si="20"/>
        <v>1.0000000000001674E-4</v>
      </c>
      <c r="AI46">
        <f t="shared" si="20"/>
        <v>-9.0000000000006741E-5</v>
      </c>
      <c r="AJ46">
        <f t="shared" si="20"/>
        <v>0</v>
      </c>
      <c r="AK46">
        <f t="shared" si="20"/>
        <v>1.2000000000000899E-4</v>
      </c>
      <c r="AL46">
        <f t="shared" si="20"/>
        <v>-1.0000000000010001E-5</v>
      </c>
      <c r="AM46">
        <f t="shared" si="20"/>
        <v>-1.5000000000001124E-4</v>
      </c>
      <c r="AO46" s="122">
        <f t="shared" si="7"/>
        <v>-1.5000000000001124E-4</v>
      </c>
      <c r="AP46" s="123">
        <f t="shared" si="8"/>
        <v>1.5000000000001124E-4</v>
      </c>
      <c r="AQ46" s="124">
        <f t="shared" si="9"/>
        <v>3.0000000000002247E-4</v>
      </c>
    </row>
  </sheetData>
  <conditionalFormatting sqref="I27:AN46">
    <cfRule type="cellIs" dxfId="33" priority="13" operator="lessThanOrEqual">
      <formula>-0.0001</formula>
    </cfRule>
    <cfRule type="cellIs" dxfId="32" priority="14" operator="greaterThanOrEqual">
      <formula>0.0001</formula>
    </cfRule>
  </conditionalFormatting>
  <conditionalFormatting sqref="I72:I80">
    <cfRule type="cellIs" dxfId="31" priority="11" operator="lessThanOrEqual">
      <formula>-0.0001</formula>
    </cfRule>
    <cfRule type="cellIs" dxfId="30" priority="12" operator="greaterThanOrEqual">
      <formula>0.0001</formula>
    </cfRule>
  </conditionalFormatting>
  <conditionalFormatting sqref="AO27:AP46">
    <cfRule type="cellIs" dxfId="29" priority="5" operator="lessThanOrEqual">
      <formula>-0.0001</formula>
    </cfRule>
    <cfRule type="cellIs" dxfId="28" priority="6" operator="greaterThanOrEqual">
      <formula>0.0001</formula>
    </cfRule>
  </conditionalFormatting>
  <conditionalFormatting sqref="AQ27:AQ46">
    <cfRule type="cellIs" dxfId="27" priority="3" operator="lessThanOrEqual">
      <formula>-0.0001</formula>
    </cfRule>
    <cfRule type="cellIs" dxfId="26" priority="4" operator="greaterThanOrEqual">
      <formula>0.0001</formula>
    </cfRule>
  </conditionalFormatting>
  <conditionalFormatting sqref="B27:H46">
    <cfRule type="cellIs" dxfId="25" priority="1" operator="lessThanOrEqual">
      <formula>-0.0001</formula>
    </cfRule>
    <cfRule type="cellIs" dxfId="24" priority="2" operator="greaterThanOrEqual">
      <formula>0.0001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9D4D-DD64-4AA3-B69C-44857C214D9D}">
  <dimension ref="A1:T82"/>
  <sheetViews>
    <sheetView workbookViewId="0">
      <selection activeCell="J32" sqref="J32:J53"/>
    </sheetView>
  </sheetViews>
  <sheetFormatPr defaultRowHeight="15" x14ac:dyDescent="0.2"/>
  <cols>
    <col min="2" max="2" width="9.88671875" bestFit="1" customWidth="1"/>
  </cols>
  <sheetData>
    <row r="1" spans="1:13" x14ac:dyDescent="0.2">
      <c r="A1" s="138" t="s">
        <v>444</v>
      </c>
      <c r="B1" s="22">
        <v>44461</v>
      </c>
    </row>
    <row r="2" spans="1:13" ht="17.25" x14ac:dyDescent="0.2">
      <c r="A2" s="163" t="s">
        <v>432</v>
      </c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</row>
    <row r="3" spans="1:13" ht="15.75" thickBot="1" x14ac:dyDescent="0.25"/>
    <row r="4" spans="1:13" x14ac:dyDescent="0.2">
      <c r="A4" s="157" t="s">
        <v>135</v>
      </c>
      <c r="B4" s="157" t="s">
        <v>197</v>
      </c>
      <c r="C4" s="157" t="s">
        <v>198</v>
      </c>
      <c r="D4" s="157" t="s">
        <v>199</v>
      </c>
      <c r="E4" s="157" t="s">
        <v>200</v>
      </c>
      <c r="F4" s="157" t="s">
        <v>201</v>
      </c>
      <c r="G4" s="157" t="s">
        <v>202</v>
      </c>
      <c r="H4" s="157" t="s">
        <v>203</v>
      </c>
      <c r="I4" s="157" t="s">
        <v>204</v>
      </c>
      <c r="J4" s="159" t="s">
        <v>205</v>
      </c>
      <c r="K4" s="157" t="s">
        <v>206</v>
      </c>
      <c r="L4" s="157" t="s">
        <v>207</v>
      </c>
      <c r="M4" s="157" t="s">
        <v>208</v>
      </c>
    </row>
    <row r="5" spans="1:13" ht="15.75" thickBot="1" x14ac:dyDescent="0.25">
      <c r="A5" s="158"/>
      <c r="B5" s="158"/>
      <c r="C5" s="158"/>
      <c r="D5" s="158"/>
      <c r="E5" s="158"/>
      <c r="F5" s="158"/>
      <c r="G5" s="158"/>
      <c r="H5" s="158"/>
      <c r="I5" s="158"/>
      <c r="J5" s="160"/>
      <c r="K5" s="158"/>
      <c r="L5" s="158"/>
      <c r="M5" s="158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9">
        <v>9.0859999999999996E-2</v>
      </c>
      <c r="K6" s="148">
        <v>9.0870000000000006E-2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9">
        <v>0.16400000000000001</v>
      </c>
      <c r="K7" s="148">
        <v>0.16400000000000001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9">
        <v>0.14605000000000001</v>
      </c>
      <c r="K8" s="148">
        <v>0.14605000000000001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9">
        <v>0.21314</v>
      </c>
      <c r="K9" s="148">
        <v>0.21315999999999999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9">
        <v>0.18607000000000001</v>
      </c>
      <c r="K10" s="148">
        <v>0.18609999999999999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9">
        <v>0.19972999999999999</v>
      </c>
      <c r="K11" s="148">
        <v>0.19968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9">
        <v>0.20499000000000001</v>
      </c>
      <c r="K12" s="148">
        <v>0.20501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9">
        <v>0.24687999999999999</v>
      </c>
      <c r="K13" s="148">
        <v>0.24689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9">
        <v>0.26762000000000002</v>
      </c>
      <c r="K14" s="148">
        <v>0.26763999999999999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9">
        <v>0.33306000000000002</v>
      </c>
      <c r="K15" s="148">
        <v>0.33305000000000001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9">
        <v>0.26384000000000002</v>
      </c>
      <c r="K16" s="148">
        <v>0.26382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9">
        <v>0.12583</v>
      </c>
      <c r="K17" s="148">
        <v>0.12581999999999999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9">
        <v>0.12977</v>
      </c>
      <c r="K18" s="148">
        <v>0.12973000000000001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9">
        <v>0.22844999999999999</v>
      </c>
      <c r="K19" s="148">
        <v>0.22855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9">
        <v>0.18239</v>
      </c>
      <c r="K20" s="148">
        <v>0.18235999999999999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9">
        <v>0.15182999999999999</v>
      </c>
      <c r="K21" s="148">
        <v>0.15179000000000001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9">
        <v>0.15323999999999999</v>
      </c>
      <c r="K22" s="148">
        <v>0.15331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9">
        <v>0.15709999999999999</v>
      </c>
      <c r="K23" s="148">
        <v>0.15714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9">
        <v>0.14865999999999999</v>
      </c>
      <c r="K24" s="148">
        <v>0.14865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9">
        <v>0.20962</v>
      </c>
      <c r="K25" s="148">
        <v>0.20962</v>
      </c>
      <c r="L25" s="148">
        <v>0.20968999999999999</v>
      </c>
      <c r="M25" s="148">
        <v>0.20973</v>
      </c>
    </row>
    <row r="26" spans="1:20" x14ac:dyDescent="0.2">
      <c r="A26" s="161" t="s">
        <v>433</v>
      </c>
      <c r="B26" s="161">
        <v>3.8037899999999998</v>
      </c>
      <c r="C26" s="161">
        <v>3.8038099999999999</v>
      </c>
      <c r="D26" s="161">
        <v>3.8036500000000002</v>
      </c>
      <c r="E26" s="161">
        <v>3.8034500000000002</v>
      </c>
      <c r="F26" s="161">
        <v>3.8030599999999999</v>
      </c>
      <c r="G26" s="161">
        <v>3.8030400000000002</v>
      </c>
      <c r="H26" s="161">
        <v>3.8029299999999999</v>
      </c>
      <c r="I26" s="161">
        <v>3.80288</v>
      </c>
      <c r="J26" s="164">
        <v>3.8031299999999999</v>
      </c>
      <c r="K26" s="161">
        <v>3.8032400000000002</v>
      </c>
      <c r="L26" s="161">
        <v>3.80348</v>
      </c>
      <c r="M26" s="161">
        <v>3.8036500000000002</v>
      </c>
    </row>
    <row r="27" spans="1:20" ht="15.75" thickBot="1" x14ac:dyDescent="0.25">
      <c r="A27" s="162"/>
      <c r="B27" s="162"/>
      <c r="C27" s="162"/>
      <c r="D27" s="162"/>
      <c r="E27" s="162"/>
      <c r="F27" s="162"/>
      <c r="G27" s="162"/>
      <c r="H27" s="162"/>
      <c r="I27" s="162"/>
      <c r="J27" s="165"/>
      <c r="K27" s="162"/>
      <c r="L27" s="162"/>
      <c r="M27" s="162"/>
    </row>
    <row r="29" spans="1:20" x14ac:dyDescent="0.2">
      <c r="P29" s="156" t="s">
        <v>445</v>
      </c>
      <c r="Q29" s="156"/>
      <c r="R29" s="156"/>
      <c r="S29" s="156"/>
    </row>
    <row r="30" spans="1:20" ht="34.5" customHeight="1" x14ac:dyDescent="0.2">
      <c r="B30" s="157" t="s">
        <v>434</v>
      </c>
      <c r="C30" s="157"/>
      <c r="D30" s="157"/>
      <c r="E30" s="146"/>
      <c r="H30" s="157" t="s">
        <v>438</v>
      </c>
      <c r="I30" s="157"/>
      <c r="J30" s="157"/>
      <c r="K30" s="146"/>
      <c r="S30">
        <v>26296</v>
      </c>
      <c r="T30">
        <v>79918</v>
      </c>
    </row>
    <row r="31" spans="1:20" ht="15.75" x14ac:dyDescent="0.25">
      <c r="B31" s="145" t="s">
        <v>435</v>
      </c>
      <c r="C31" s="145" t="s">
        <v>436</v>
      </c>
      <c r="D31" s="145" t="s">
        <v>437</v>
      </c>
      <c r="E31" s="145" t="s">
        <v>442</v>
      </c>
      <c r="F31" s="145"/>
      <c r="G31" s="145"/>
      <c r="H31" s="145" t="s">
        <v>435</v>
      </c>
      <c r="I31" s="145" t="s">
        <v>436</v>
      </c>
      <c r="J31" s="145" t="s">
        <v>437</v>
      </c>
      <c r="K31" s="145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9.1009999999999994E-2</v>
      </c>
      <c r="I32">
        <v>9.1009999999999994E-2</v>
      </c>
      <c r="J32">
        <v>1.4E-5</v>
      </c>
      <c r="P32" s="147" t="s">
        <v>270</v>
      </c>
      <c r="Q32" s="15">
        <f t="shared" ref="Q32:Q59" si="0">B32-H32</f>
        <v>-2.299999999999941E-4</v>
      </c>
      <c r="R32" s="15">
        <f t="shared" ref="R32:R59" si="1">C32-I32</f>
        <v>-2.299999999999941E-4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0.16403000000000001</v>
      </c>
      <c r="C33">
        <v>0.16403000000000001</v>
      </c>
      <c r="D33">
        <v>1.4E-5</v>
      </c>
      <c r="G33" s="147" t="s">
        <v>271</v>
      </c>
      <c r="H33">
        <v>0.16399</v>
      </c>
      <c r="I33">
        <v>0.16399</v>
      </c>
      <c r="J33">
        <v>1.4E-5</v>
      </c>
      <c r="P33" s="147" t="s">
        <v>271</v>
      </c>
      <c r="Q33" s="15">
        <f t="shared" si="0"/>
        <v>4.0000000000012248E-5</v>
      </c>
      <c r="R33" s="15">
        <f t="shared" si="1"/>
        <v>4.0000000000012248E-5</v>
      </c>
      <c r="S33" s="15">
        <f t="shared" ref="S33:S45" si="2">C33-B64</f>
        <v>0</v>
      </c>
      <c r="T33" s="15">
        <f t="shared" ref="T33:T45" si="3">I33-H64</f>
        <v>0</v>
      </c>
    </row>
    <row r="34" spans="1:20" ht="15.75" thickBot="1" x14ac:dyDescent="0.25">
      <c r="A34" s="147" t="s">
        <v>272</v>
      </c>
      <c r="B34">
        <v>0.14607000000000001</v>
      </c>
      <c r="C34">
        <v>0.14607000000000001</v>
      </c>
      <c r="D34">
        <v>1.4E-5</v>
      </c>
      <c r="G34" s="147" t="s">
        <v>272</v>
      </c>
      <c r="H34">
        <v>0.14599000000000001</v>
      </c>
      <c r="I34">
        <v>0.14599000000000001</v>
      </c>
      <c r="J34">
        <v>1.4E-5</v>
      </c>
      <c r="P34" s="147" t="s">
        <v>272</v>
      </c>
      <c r="Q34" s="15">
        <f t="shared" si="0"/>
        <v>7.999999999999674E-5</v>
      </c>
      <c r="R34" s="15">
        <f t="shared" si="1"/>
        <v>7.999999999999674E-5</v>
      </c>
      <c r="S34" s="15">
        <f t="shared" si="2"/>
        <v>0</v>
      </c>
      <c r="T34" s="15">
        <f t="shared" si="3"/>
        <v>0</v>
      </c>
    </row>
    <row r="35" spans="1:20" ht="15.75" thickBot="1" x14ac:dyDescent="0.25">
      <c r="A35" s="147" t="s">
        <v>273</v>
      </c>
      <c r="B35">
        <v>0.21312999999999999</v>
      </c>
      <c r="C35">
        <v>0.21312999999999999</v>
      </c>
      <c r="D35">
        <v>1.4E-5</v>
      </c>
      <c r="G35" s="147" t="s">
        <v>273</v>
      </c>
      <c r="H35">
        <v>0.21326000000000001</v>
      </c>
      <c r="I35">
        <v>0.21326000000000001</v>
      </c>
      <c r="J35">
        <v>1.4E-5</v>
      </c>
      <c r="P35" s="147" t="s">
        <v>273</v>
      </c>
      <c r="Q35" s="15">
        <f t="shared" si="0"/>
        <v>-1.3000000000001899E-4</v>
      </c>
      <c r="R35" s="15">
        <f t="shared" si="1"/>
        <v>-1.3000000000001899E-4</v>
      </c>
      <c r="S35" s="15">
        <f t="shared" si="2"/>
        <v>0</v>
      </c>
      <c r="T35" s="15">
        <f t="shared" si="3"/>
        <v>0</v>
      </c>
    </row>
    <row r="36" spans="1:20" ht="15.75" thickBot="1" x14ac:dyDescent="0.25">
      <c r="A36" s="147" t="s">
        <v>281</v>
      </c>
      <c r="B36">
        <v>0.18608</v>
      </c>
      <c r="C36">
        <v>0.18608</v>
      </c>
      <c r="D36">
        <v>1.4E-5</v>
      </c>
      <c r="G36" s="147" t="s">
        <v>281</v>
      </c>
      <c r="H36">
        <v>0.18601999999999999</v>
      </c>
      <c r="I36">
        <v>0.18601999999999999</v>
      </c>
      <c r="J36">
        <v>1.4E-5</v>
      </c>
      <c r="P36" s="147" t="s">
        <v>281</v>
      </c>
      <c r="Q36" s="15">
        <f t="shared" si="0"/>
        <v>6.0000000000004494E-5</v>
      </c>
      <c r="R36" s="15">
        <f t="shared" si="1"/>
        <v>6.0000000000004494E-5</v>
      </c>
      <c r="S36" s="15">
        <f t="shared" si="2"/>
        <v>0</v>
      </c>
      <c r="T36" s="15">
        <f t="shared" si="3"/>
        <v>0</v>
      </c>
    </row>
    <row r="37" spans="1:20" ht="17.25" customHeight="1" thickBot="1" x14ac:dyDescent="0.25">
      <c r="A37" s="147" t="s">
        <v>274</v>
      </c>
      <c r="B37">
        <v>0.19972999999999999</v>
      </c>
      <c r="C37">
        <v>0.19972999999999999</v>
      </c>
      <c r="D37">
        <v>1.4E-5</v>
      </c>
      <c r="G37" s="147" t="s">
        <v>274</v>
      </c>
      <c r="H37">
        <v>0.19977</v>
      </c>
      <c r="I37">
        <v>0.19977</v>
      </c>
      <c r="J37">
        <v>1.4E-5</v>
      </c>
      <c r="P37" s="147" t="s">
        <v>274</v>
      </c>
      <c r="Q37" s="15">
        <f t="shared" si="0"/>
        <v>-4.0000000000012248E-5</v>
      </c>
      <c r="R37" s="15">
        <f t="shared" si="1"/>
        <v>-4.0000000000012248E-5</v>
      </c>
      <c r="S37" s="15">
        <f t="shared" si="2"/>
        <v>0</v>
      </c>
      <c r="T37" s="15">
        <f t="shared" si="3"/>
        <v>0</v>
      </c>
    </row>
    <row r="38" spans="1:20" ht="15.75" thickBot="1" x14ac:dyDescent="0.25">
      <c r="A38" s="147" t="s">
        <v>275</v>
      </c>
      <c r="B38">
        <v>0.20497000000000001</v>
      </c>
      <c r="C38">
        <v>0.20497000000000001</v>
      </c>
      <c r="D38">
        <v>1.4E-5</v>
      </c>
      <c r="G38" s="147" t="s">
        <v>275</v>
      </c>
      <c r="H38">
        <v>0.20498</v>
      </c>
      <c r="I38">
        <v>0.20498</v>
      </c>
      <c r="J38">
        <v>1.4E-5</v>
      </c>
      <c r="P38" s="147" t="s">
        <v>275</v>
      </c>
      <c r="Q38" s="15">
        <f t="shared" si="0"/>
        <v>-9.9999999999822453E-6</v>
      </c>
      <c r="R38" s="15">
        <f t="shared" si="1"/>
        <v>-9.9999999999822453E-6</v>
      </c>
      <c r="S38" s="15">
        <f t="shared" si="2"/>
        <v>-2.9999999999974492E-5</v>
      </c>
      <c r="T38" s="15">
        <f t="shared" si="3"/>
        <v>-1.0000000000010001E-5</v>
      </c>
    </row>
    <row r="39" spans="1:20" ht="15.75" thickBot="1" x14ac:dyDescent="0.25">
      <c r="A39" s="147" t="s">
        <v>276</v>
      </c>
      <c r="B39">
        <v>0.24693000000000001</v>
      </c>
      <c r="C39">
        <v>0.24693000000000001</v>
      </c>
      <c r="D39">
        <v>1.4E-5</v>
      </c>
      <c r="G39" s="147" t="s">
        <v>276</v>
      </c>
      <c r="H39">
        <v>0.24690999999999999</v>
      </c>
      <c r="I39">
        <v>0.24690999999999999</v>
      </c>
      <c r="J39">
        <v>2.1999999999999999E-5</v>
      </c>
      <c r="P39" s="147" t="s">
        <v>276</v>
      </c>
      <c r="Q39" s="15">
        <f t="shared" si="0"/>
        <v>2.0000000000020002E-5</v>
      </c>
      <c r="R39" s="15">
        <f t="shared" si="1"/>
        <v>2.0000000000020002E-5</v>
      </c>
      <c r="S39" s="15">
        <f t="shared" si="2"/>
        <v>4.0000000000012248E-5</v>
      </c>
      <c r="T39" s="15">
        <f t="shared" si="3"/>
        <v>9.9999999999822453E-6</v>
      </c>
    </row>
    <row r="40" spans="1:20" ht="15.75" thickBot="1" x14ac:dyDescent="0.25">
      <c r="A40" s="147" t="s">
        <v>277</v>
      </c>
      <c r="B40">
        <v>0.2676</v>
      </c>
      <c r="C40">
        <v>0.2676</v>
      </c>
      <c r="D40">
        <v>1.4E-5</v>
      </c>
      <c r="G40" s="147" t="s">
        <v>277</v>
      </c>
      <c r="H40">
        <v>0.26763999999999999</v>
      </c>
      <c r="I40">
        <v>0.26763999999999999</v>
      </c>
      <c r="J40">
        <v>2.8E-5</v>
      </c>
      <c r="P40" s="147" t="s">
        <v>277</v>
      </c>
      <c r="Q40" s="15">
        <f t="shared" si="0"/>
        <v>-3.9999999999984492E-5</v>
      </c>
      <c r="R40" s="15">
        <f t="shared" si="1"/>
        <v>-3.9999999999984492E-5</v>
      </c>
      <c r="S40" s="15">
        <f t="shared" si="2"/>
        <v>-1.0000000000010001E-5</v>
      </c>
      <c r="T40" s="15">
        <f t="shared" si="3"/>
        <v>4.9999999999994493E-5</v>
      </c>
    </row>
    <row r="41" spans="1:20" ht="15.75" thickBot="1" x14ac:dyDescent="0.25">
      <c r="A41" s="147" t="s">
        <v>439</v>
      </c>
      <c r="B41">
        <v>0.33306000000000002</v>
      </c>
      <c r="C41">
        <v>0.33306000000000002</v>
      </c>
      <c r="D41">
        <v>1.4E-5</v>
      </c>
      <c r="G41" s="147" t="s">
        <v>439</v>
      </c>
      <c r="H41">
        <v>0.33302999999999999</v>
      </c>
      <c r="I41">
        <v>0.33302999999999999</v>
      </c>
      <c r="J41">
        <v>2.1999999999999999E-5</v>
      </c>
      <c r="P41" s="147" t="s">
        <v>439</v>
      </c>
      <c r="Q41" s="15">
        <f t="shared" si="0"/>
        <v>3.0000000000030003E-5</v>
      </c>
      <c r="R41" s="15">
        <f t="shared" si="1"/>
        <v>3.0000000000030003E-5</v>
      </c>
      <c r="S41" s="15">
        <f t="shared" si="2"/>
        <v>-4.9999999999994493E-5</v>
      </c>
      <c r="T41" s="15">
        <f t="shared" si="3"/>
        <v>-3.0000000000030003E-5</v>
      </c>
    </row>
    <row r="42" spans="1:20" ht="15.75" thickBot="1" x14ac:dyDescent="0.25">
      <c r="A42" s="147" t="s">
        <v>279</v>
      </c>
      <c r="B42">
        <v>0.26382</v>
      </c>
      <c r="C42">
        <v>0.26382</v>
      </c>
      <c r="D42">
        <v>1.4E-5</v>
      </c>
      <c r="G42" s="147" t="s">
        <v>279</v>
      </c>
      <c r="H42">
        <v>0.26384999999999997</v>
      </c>
      <c r="I42">
        <v>0.26384999999999997</v>
      </c>
      <c r="J42">
        <v>1.4E-5</v>
      </c>
      <c r="P42" s="147" t="s">
        <v>279</v>
      </c>
      <c r="Q42" s="15">
        <f t="shared" si="0"/>
        <v>-2.9999999999974492E-5</v>
      </c>
      <c r="R42" s="15">
        <f t="shared" si="1"/>
        <v>-2.9999999999974492E-5</v>
      </c>
      <c r="S42" s="15">
        <f t="shared" si="2"/>
        <v>0</v>
      </c>
      <c r="T42" s="15">
        <f t="shared" si="3"/>
        <v>9.9999999999544897E-6</v>
      </c>
    </row>
    <row r="43" spans="1:20" ht="15.75" thickBot="1" x14ac:dyDescent="0.25">
      <c r="A43" s="147" t="s">
        <v>280</v>
      </c>
      <c r="B43">
        <v>0.12587999999999999</v>
      </c>
      <c r="C43">
        <v>0.12587999999999999</v>
      </c>
      <c r="D43">
        <v>1.4E-5</v>
      </c>
      <c r="G43" s="147" t="s">
        <v>280</v>
      </c>
      <c r="H43">
        <v>0.12581000000000001</v>
      </c>
      <c r="I43">
        <v>0.12581000000000001</v>
      </c>
      <c r="J43">
        <v>1.4E-5</v>
      </c>
      <c r="P43" s="147" t="s">
        <v>280</v>
      </c>
      <c r="Q43" s="15">
        <f t="shared" si="0"/>
        <v>6.9999999999986739E-5</v>
      </c>
      <c r="R43" s="15">
        <f t="shared" si="1"/>
        <v>6.9999999999986739E-5</v>
      </c>
      <c r="S43" s="15">
        <f t="shared" si="2"/>
        <v>3.9999999999984492E-5</v>
      </c>
      <c r="T43" s="15">
        <f t="shared" si="3"/>
        <v>0</v>
      </c>
    </row>
    <row r="44" spans="1:20" ht="15.75" thickBot="1" x14ac:dyDescent="0.25">
      <c r="A44" s="148" t="s">
        <v>282</v>
      </c>
      <c r="B44">
        <v>0.12975</v>
      </c>
      <c r="C44">
        <v>0.12975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-3.0000000000002247E-5</v>
      </c>
      <c r="R44" s="15">
        <f t="shared" si="1"/>
        <v>-3.0000000000002247E-5</v>
      </c>
      <c r="S44" s="15">
        <f t="shared" si="2"/>
        <v>-9.9999999999822453E-6</v>
      </c>
      <c r="T44" s="15">
        <f t="shared" si="3"/>
        <v>0</v>
      </c>
    </row>
    <row r="45" spans="1:20" ht="15.75" thickBot="1" x14ac:dyDescent="0.25">
      <c r="A45" s="148" t="s">
        <v>283</v>
      </c>
      <c r="B45">
        <v>0.22839999999999999</v>
      </c>
      <c r="C45">
        <v>0.22839999999999999</v>
      </c>
      <c r="D45">
        <v>1.4E-5</v>
      </c>
      <c r="G45" s="148" t="s">
        <v>283</v>
      </c>
      <c r="H45">
        <v>0.22844</v>
      </c>
      <c r="I45">
        <v>0.22844</v>
      </c>
      <c r="J45">
        <v>1.4E-5</v>
      </c>
      <c r="P45" s="148" t="s">
        <v>283</v>
      </c>
      <c r="Q45" s="15">
        <f t="shared" si="0"/>
        <v>-4.0000000000012248E-5</v>
      </c>
      <c r="R45" s="15">
        <f t="shared" si="1"/>
        <v>-4.0000000000012248E-5</v>
      </c>
      <c r="S45" s="15">
        <f t="shared" si="2"/>
        <v>-3.0000000000002247E-5</v>
      </c>
      <c r="T45" s="15">
        <f t="shared" si="3"/>
        <v>-1.9999999999992246E-5</v>
      </c>
    </row>
    <row r="46" spans="1:20" ht="15.75" thickBot="1" x14ac:dyDescent="0.25">
      <c r="A46" s="148" t="s">
        <v>275</v>
      </c>
      <c r="B46">
        <v>0.20502999999999999</v>
      </c>
      <c r="C46">
        <v>0.20502999999999999</v>
      </c>
      <c r="D46">
        <v>1.4E-5</v>
      </c>
      <c r="G46" s="148" t="s">
        <v>275</v>
      </c>
      <c r="H46">
        <v>0.20502000000000001</v>
      </c>
      <c r="I46">
        <v>0.20502000000000001</v>
      </c>
      <c r="J46">
        <v>2.1999999999999999E-5</v>
      </c>
      <c r="P46" s="148" t="s">
        <v>275</v>
      </c>
      <c r="Q46" s="15">
        <f t="shared" si="0"/>
        <v>9.9999999999822453E-6</v>
      </c>
      <c r="R46" s="15">
        <f t="shared" si="1"/>
        <v>9.9999999999822453E-6</v>
      </c>
      <c r="S46" s="15">
        <f>C38-B69</f>
        <v>-2.9999999999974492E-5</v>
      </c>
      <c r="T46" s="15">
        <f>I46-H69</f>
        <v>3.0000000000002247E-5</v>
      </c>
    </row>
    <row r="47" spans="1:20" ht="15.75" thickBot="1" x14ac:dyDescent="0.25">
      <c r="A47" s="148" t="s">
        <v>276</v>
      </c>
      <c r="B47">
        <v>0.24684</v>
      </c>
      <c r="C47">
        <v>0.24684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-6.0000000000004494E-5</v>
      </c>
      <c r="R47" s="15">
        <f t="shared" si="1"/>
        <v>-6.0000000000004494E-5</v>
      </c>
      <c r="S47" s="15">
        <f t="shared" ref="S47:S53" si="4">C39-B70</f>
        <v>4.0000000000012248E-5</v>
      </c>
      <c r="T47" s="15">
        <f t="shared" ref="T47:T59" si="5">I47-H70</f>
        <v>0</v>
      </c>
    </row>
    <row r="48" spans="1:20" ht="15.75" thickBot="1" x14ac:dyDescent="0.25">
      <c r="A48" s="148" t="s">
        <v>277</v>
      </c>
      <c r="B48">
        <v>0.26761000000000001</v>
      </c>
      <c r="C48">
        <v>0.26761000000000001</v>
      </c>
      <c r="D48">
        <v>1.4E-5</v>
      </c>
      <c r="G48" s="148" t="s">
        <v>277</v>
      </c>
      <c r="H48">
        <v>0.26757999999999998</v>
      </c>
      <c r="I48">
        <v>0.26757999999999998</v>
      </c>
      <c r="J48">
        <v>1.4E-5</v>
      </c>
      <c r="P48" s="148" t="s">
        <v>277</v>
      </c>
      <c r="Q48" s="15">
        <f t="shared" si="0"/>
        <v>3.0000000000030003E-5</v>
      </c>
      <c r="R48" s="15">
        <f t="shared" si="1"/>
        <v>3.0000000000030003E-5</v>
      </c>
      <c r="S48" s="15">
        <f t="shared" si="4"/>
        <v>-1.0000000000010001E-5</v>
      </c>
      <c r="T48" s="15">
        <f t="shared" si="5"/>
        <v>-1.0000000000010001E-5</v>
      </c>
    </row>
    <row r="49" spans="1:20" ht="15.75" thickBot="1" x14ac:dyDescent="0.25">
      <c r="A49" s="147" t="s">
        <v>278</v>
      </c>
      <c r="B49">
        <v>0.33316000000000001</v>
      </c>
      <c r="C49">
        <v>0.33316000000000001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1.4E-5</v>
      </c>
      <c r="P49" s="147" t="s">
        <v>278</v>
      </c>
      <c r="Q49" s="15">
        <f t="shared" si="0"/>
        <v>9.0000000000034497E-5</v>
      </c>
      <c r="R49" s="15">
        <f t="shared" si="1"/>
        <v>9.0000000000034497E-5</v>
      </c>
      <c r="S49" s="15">
        <f t="shared" si="4"/>
        <v>-4.9999999999994493E-5</v>
      </c>
      <c r="T49" s="15">
        <f t="shared" si="5"/>
        <v>9.9999999999544897E-6</v>
      </c>
    </row>
    <row r="50" spans="1:20" ht="15.75" thickBot="1" x14ac:dyDescent="0.25">
      <c r="A50" s="148" t="s">
        <v>279</v>
      </c>
      <c r="B50">
        <v>0.26380999999999999</v>
      </c>
      <c r="C50">
        <v>0.26380999999999999</v>
      </c>
      <c r="D50">
        <v>1.4E-5</v>
      </c>
      <c r="G50" s="148" t="s">
        <v>279</v>
      </c>
      <c r="H50">
        <v>0.26384000000000002</v>
      </c>
      <c r="I50">
        <v>0.26384000000000002</v>
      </c>
      <c r="J50">
        <v>1.4E-5</v>
      </c>
      <c r="P50" s="148" t="s">
        <v>279</v>
      </c>
      <c r="Q50" s="15">
        <f t="shared" si="0"/>
        <v>-3.0000000000030003E-5</v>
      </c>
      <c r="R50" s="15">
        <f t="shared" si="1"/>
        <v>-3.0000000000030003E-5</v>
      </c>
      <c r="S50" s="15">
        <f t="shared" si="4"/>
        <v>0</v>
      </c>
      <c r="T50" s="15">
        <f t="shared" si="5"/>
        <v>0</v>
      </c>
    </row>
    <row r="51" spans="1:20" x14ac:dyDescent="0.2">
      <c r="A51" s="150" t="s">
        <v>280</v>
      </c>
      <c r="B51">
        <v>0.12579000000000001</v>
      </c>
      <c r="C51">
        <v>0.12579000000000001</v>
      </c>
      <c r="D51">
        <v>1.4E-5</v>
      </c>
      <c r="G51" s="150" t="s">
        <v>280</v>
      </c>
      <c r="H51">
        <v>0.12581000000000001</v>
      </c>
      <c r="I51">
        <v>0.12581000000000001</v>
      </c>
      <c r="J51">
        <v>1.4E-5</v>
      </c>
      <c r="P51" s="150" t="s">
        <v>280</v>
      </c>
      <c r="Q51" s="15">
        <f t="shared" si="0"/>
        <v>-1.9999999999992246E-5</v>
      </c>
      <c r="R51" s="15">
        <f t="shared" si="1"/>
        <v>-1.9999999999992246E-5</v>
      </c>
      <c r="S51" s="15">
        <f>C43-B74</f>
        <v>3.9999999999984492E-5</v>
      </c>
      <c r="T51" s="15">
        <f t="shared" si="5"/>
        <v>0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0.12978000000000001</v>
      </c>
      <c r="I52">
        <v>0.12978000000000001</v>
      </c>
      <c r="J52">
        <v>1.4E-5</v>
      </c>
      <c r="P52" s="150" t="s">
        <v>21</v>
      </c>
      <c r="Q52" s="15">
        <f t="shared" si="0"/>
        <v>-1.0000000000010001E-5</v>
      </c>
      <c r="R52" s="15">
        <f t="shared" si="1"/>
        <v>-1.0000000000010001E-5</v>
      </c>
      <c r="S52" s="15">
        <f t="shared" si="4"/>
        <v>-9.9999999999822453E-6</v>
      </c>
      <c r="T52" s="15">
        <f t="shared" si="5"/>
        <v>0</v>
      </c>
    </row>
    <row r="53" spans="1:20" x14ac:dyDescent="0.2">
      <c r="A53" s="150" t="s">
        <v>22</v>
      </c>
      <c r="B53">
        <v>0.22844999999999999</v>
      </c>
      <c r="C53">
        <v>0.22844999999999999</v>
      </c>
      <c r="D53">
        <v>1.4E-5</v>
      </c>
      <c r="G53" s="150" t="s">
        <v>22</v>
      </c>
      <c r="H53">
        <v>0.22847999999999999</v>
      </c>
      <c r="I53">
        <v>0.22847999999999999</v>
      </c>
      <c r="J53">
        <v>1.4E-5</v>
      </c>
      <c r="P53" s="150" t="s">
        <v>22</v>
      </c>
      <c r="Q53" s="15">
        <f t="shared" si="0"/>
        <v>-3.0000000000002247E-5</v>
      </c>
      <c r="R53" s="15">
        <f t="shared" si="1"/>
        <v>-3.0000000000002247E-5</v>
      </c>
      <c r="S53" s="15">
        <f t="shared" si="4"/>
        <v>-3.0000000000002247E-5</v>
      </c>
      <c r="T53" s="15">
        <f t="shared" si="5"/>
        <v>1.9999999999992246E-5</v>
      </c>
    </row>
    <row r="54" spans="1:20" x14ac:dyDescent="0.2">
      <c r="A54" s="150" t="s">
        <v>23</v>
      </c>
      <c r="B54">
        <v>0.18242</v>
      </c>
      <c r="C54">
        <v>0.18242</v>
      </c>
      <c r="D54">
        <v>1.4E-5</v>
      </c>
      <c r="G54" s="150" t="s">
        <v>23</v>
      </c>
      <c r="H54">
        <v>0.18231</v>
      </c>
      <c r="I54">
        <v>0.18231</v>
      </c>
      <c r="J54">
        <v>1.4E-5</v>
      </c>
      <c r="P54" s="150" t="s">
        <v>23</v>
      </c>
      <c r="Q54" s="15">
        <f t="shared" si="0"/>
        <v>1.0999999999999899E-4</v>
      </c>
      <c r="R54" s="15">
        <f t="shared" si="1"/>
        <v>1.0999999999999899E-4</v>
      </c>
      <c r="S54" s="15">
        <f>C54-B77</f>
        <v>0</v>
      </c>
      <c r="T54" s="15">
        <f t="shared" si="5"/>
        <v>0</v>
      </c>
    </row>
    <row r="55" spans="1:20" x14ac:dyDescent="0.2">
      <c r="A55" s="150" t="s">
        <v>24</v>
      </c>
      <c r="B55">
        <v>0.15182999999999999</v>
      </c>
      <c r="C55">
        <v>0.15182999999999999</v>
      </c>
      <c r="D55">
        <v>1.4E-5</v>
      </c>
      <c r="G55" s="150" t="s">
        <v>24</v>
      </c>
      <c r="H55">
        <v>0.15182999999999999</v>
      </c>
      <c r="I55">
        <v>0.15182999999999999</v>
      </c>
      <c r="J55">
        <v>1.4E-5</v>
      </c>
      <c r="P55" s="150" t="s">
        <v>24</v>
      </c>
      <c r="Q55" s="15">
        <f t="shared" si="0"/>
        <v>0</v>
      </c>
      <c r="R55" s="15">
        <f t="shared" si="1"/>
        <v>0</v>
      </c>
      <c r="S55" s="15">
        <f t="shared" ref="S55:S59" si="6">C55-B78</f>
        <v>0</v>
      </c>
      <c r="T55" s="15">
        <f t="shared" si="5"/>
        <v>0</v>
      </c>
    </row>
    <row r="56" spans="1:20" x14ac:dyDescent="0.2">
      <c r="A56" s="150" t="s">
        <v>25</v>
      </c>
      <c r="B56">
        <v>0.15323000000000001</v>
      </c>
      <c r="C56">
        <v>0.15323000000000001</v>
      </c>
      <c r="D56">
        <v>1.4E-5</v>
      </c>
      <c r="G56" s="150" t="s">
        <v>25</v>
      </c>
      <c r="H56">
        <v>0.15323999999999999</v>
      </c>
      <c r="I56">
        <v>0.15323999999999999</v>
      </c>
      <c r="J56">
        <v>2.1999999999999999E-5</v>
      </c>
      <c r="P56" s="150" t="s">
        <v>25</v>
      </c>
      <c r="Q56" s="15">
        <f t="shared" si="0"/>
        <v>-9.9999999999822453E-6</v>
      </c>
      <c r="R56" s="15">
        <f t="shared" si="1"/>
        <v>-9.9999999999822453E-6</v>
      </c>
      <c r="S56" s="15">
        <f t="shared" si="6"/>
        <v>0</v>
      </c>
      <c r="T56" s="15">
        <f t="shared" si="5"/>
        <v>0</v>
      </c>
    </row>
    <row r="57" spans="1:20" x14ac:dyDescent="0.2">
      <c r="A57" s="150" t="s">
        <v>26</v>
      </c>
      <c r="B57">
        <v>0.15715999999999999</v>
      </c>
      <c r="C57">
        <v>0.15715999999999999</v>
      </c>
      <c r="D57">
        <v>1.4E-5</v>
      </c>
      <c r="G57" s="150" t="s">
        <v>26</v>
      </c>
      <c r="H57">
        <v>0.15709000000000001</v>
      </c>
      <c r="I57">
        <v>0.15709000000000001</v>
      </c>
      <c r="J57">
        <v>2.1999999999999999E-5</v>
      </c>
      <c r="P57" s="150" t="s">
        <v>26</v>
      </c>
      <c r="Q57" s="15">
        <f t="shared" si="0"/>
        <v>6.9999999999986739E-5</v>
      </c>
      <c r="R57" s="15">
        <f t="shared" si="1"/>
        <v>6.9999999999986739E-5</v>
      </c>
      <c r="S57" s="15">
        <f t="shared" si="6"/>
        <v>0</v>
      </c>
      <c r="T57" s="15">
        <f t="shared" si="5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1.4E-5</v>
      </c>
      <c r="G58" s="150" t="s">
        <v>27</v>
      </c>
      <c r="H58">
        <v>0.14871999999999999</v>
      </c>
      <c r="I58">
        <v>0.14871999999999999</v>
      </c>
      <c r="J58">
        <v>2.1999999999999999E-5</v>
      </c>
      <c r="P58" s="150" t="s">
        <v>27</v>
      </c>
      <c r="Q58" s="15">
        <f t="shared" si="0"/>
        <v>-1.1999999999998123E-4</v>
      </c>
      <c r="R58" s="15">
        <f t="shared" si="1"/>
        <v>-1.1999999999998123E-4</v>
      </c>
      <c r="S58" s="15">
        <f t="shared" si="6"/>
        <v>0</v>
      </c>
      <c r="T58" s="15">
        <f t="shared" si="5"/>
        <v>0</v>
      </c>
    </row>
    <row r="59" spans="1:20" x14ac:dyDescent="0.2">
      <c r="A59" s="150" t="s">
        <v>28</v>
      </c>
      <c r="B59">
        <v>0.20960999999999999</v>
      </c>
      <c r="C59">
        <v>0.20960999999999999</v>
      </c>
      <c r="D59">
        <v>1.4E-5</v>
      </c>
      <c r="G59" s="150" t="s">
        <v>28</v>
      </c>
      <c r="H59">
        <v>0.20959</v>
      </c>
      <c r="I59">
        <v>0.20959</v>
      </c>
      <c r="J59">
        <v>2.8E-5</v>
      </c>
      <c r="P59" s="150" t="s">
        <v>28</v>
      </c>
      <c r="Q59" s="15">
        <f t="shared" si="0"/>
        <v>1.9999999999992246E-5</v>
      </c>
      <c r="R59" s="15">
        <f t="shared" si="1"/>
        <v>1.9999999999992246E-5</v>
      </c>
      <c r="S59" s="15">
        <f t="shared" si="6"/>
        <v>0</v>
      </c>
      <c r="T59" s="15">
        <f t="shared" si="5"/>
        <v>0</v>
      </c>
    </row>
    <row r="61" spans="1:20" ht="60" customHeight="1" x14ac:dyDescent="0.2">
      <c r="A61" s="157" t="s">
        <v>434</v>
      </c>
      <c r="B61" s="157"/>
      <c r="C61" s="157"/>
      <c r="G61" s="157" t="s">
        <v>438</v>
      </c>
      <c r="H61" s="157"/>
      <c r="I61" s="157"/>
      <c r="P61" s="156" t="s">
        <v>445</v>
      </c>
      <c r="Q61" s="156"/>
      <c r="R61" s="156"/>
      <c r="S61" s="156"/>
    </row>
    <row r="62" spans="1:20" ht="15.75" x14ac:dyDescent="0.25">
      <c r="B62" s="145" t="s">
        <v>442</v>
      </c>
      <c r="H62" s="145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9.1009999999999994E-2</v>
      </c>
      <c r="P63" s="147" t="s">
        <v>270</v>
      </c>
      <c r="Q63" s="15">
        <f>B63-H63</f>
        <v>-2.299999999999941E-4</v>
      </c>
    </row>
    <row r="64" spans="1:20" ht="15.75" thickBot="1" x14ac:dyDescent="0.25">
      <c r="A64" s="147" t="s">
        <v>271</v>
      </c>
      <c r="B64">
        <v>0.16403000000000001</v>
      </c>
      <c r="G64" s="147" t="s">
        <v>271</v>
      </c>
      <c r="H64">
        <v>0.16399</v>
      </c>
      <c r="P64" s="147" t="s">
        <v>271</v>
      </c>
      <c r="Q64" s="15">
        <f t="shared" ref="Q64:Q82" si="7">B64-H64</f>
        <v>4.0000000000012248E-5</v>
      </c>
    </row>
    <row r="65" spans="1:17" ht="15.75" thickBot="1" x14ac:dyDescent="0.25">
      <c r="A65" s="147" t="s">
        <v>272</v>
      </c>
      <c r="B65">
        <v>0.14607000000000001</v>
      </c>
      <c r="G65" s="147" t="s">
        <v>272</v>
      </c>
      <c r="H65">
        <v>0.14599000000000001</v>
      </c>
      <c r="P65" s="147" t="s">
        <v>272</v>
      </c>
      <c r="Q65" s="15">
        <f t="shared" si="7"/>
        <v>7.999999999999674E-5</v>
      </c>
    </row>
    <row r="66" spans="1:17" ht="15.75" thickBot="1" x14ac:dyDescent="0.25">
      <c r="A66" s="147" t="s">
        <v>273</v>
      </c>
      <c r="B66">
        <v>0.21312999999999999</v>
      </c>
      <c r="G66" s="147" t="s">
        <v>273</v>
      </c>
      <c r="H66">
        <v>0.21326000000000001</v>
      </c>
      <c r="P66" s="147" t="s">
        <v>273</v>
      </c>
      <c r="Q66" s="15">
        <f t="shared" si="7"/>
        <v>-1.3000000000001899E-4</v>
      </c>
    </row>
    <row r="67" spans="1:17" ht="15.75" thickBot="1" x14ac:dyDescent="0.25">
      <c r="A67" s="147" t="s">
        <v>281</v>
      </c>
      <c r="B67">
        <v>0.18608</v>
      </c>
      <c r="G67" s="147" t="s">
        <v>281</v>
      </c>
      <c r="H67">
        <v>0.18601999999999999</v>
      </c>
      <c r="P67" s="147" t="s">
        <v>281</v>
      </c>
      <c r="Q67" s="15">
        <f t="shared" si="7"/>
        <v>6.0000000000004494E-5</v>
      </c>
    </row>
    <row r="68" spans="1:17" ht="15.75" thickBot="1" x14ac:dyDescent="0.25">
      <c r="A68" s="147" t="s">
        <v>274</v>
      </c>
      <c r="B68">
        <v>0.19972999999999999</v>
      </c>
      <c r="G68" s="147" t="s">
        <v>274</v>
      </c>
      <c r="H68">
        <v>0.19977</v>
      </c>
      <c r="P68" s="147" t="s">
        <v>274</v>
      </c>
      <c r="Q68" s="15">
        <f t="shared" si="7"/>
        <v>-4.0000000000012248E-5</v>
      </c>
    </row>
    <row r="69" spans="1:17" ht="15.75" thickBot="1" x14ac:dyDescent="0.25">
      <c r="A69" s="147" t="s">
        <v>275</v>
      </c>
      <c r="B69">
        <v>0.20499999999999999</v>
      </c>
      <c r="G69" s="147" t="s">
        <v>275</v>
      </c>
      <c r="H69">
        <v>0.20499000000000001</v>
      </c>
      <c r="P69" s="147" t="s">
        <v>275</v>
      </c>
      <c r="Q69" s="15">
        <f t="shared" si="7"/>
        <v>9.9999999999822453E-6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0.24690000000000001</v>
      </c>
      <c r="P70" s="147" t="s">
        <v>276</v>
      </c>
      <c r="Q70" s="15">
        <f t="shared" si="7"/>
        <v>-1.0000000000010001E-5</v>
      </c>
    </row>
    <row r="71" spans="1:17" ht="15.75" thickBot="1" x14ac:dyDescent="0.25">
      <c r="A71" s="147" t="s">
        <v>277</v>
      </c>
      <c r="B71">
        <v>0.26761000000000001</v>
      </c>
      <c r="G71" s="147" t="s">
        <v>277</v>
      </c>
      <c r="H71">
        <v>0.26758999999999999</v>
      </c>
      <c r="P71" s="147" t="s">
        <v>277</v>
      </c>
      <c r="Q71" s="15">
        <f t="shared" si="7"/>
        <v>2.0000000000020002E-5</v>
      </c>
    </row>
    <row r="72" spans="1:17" ht="15.75" thickBot="1" x14ac:dyDescent="0.25">
      <c r="A72" s="147" t="s">
        <v>439</v>
      </c>
      <c r="B72">
        <v>0.33311000000000002</v>
      </c>
      <c r="G72" s="147" t="s">
        <v>439</v>
      </c>
      <c r="H72">
        <v>0.33306000000000002</v>
      </c>
      <c r="P72" s="147" t="s">
        <v>439</v>
      </c>
      <c r="Q72" s="15">
        <f t="shared" si="7"/>
        <v>4.9999999999994493E-5</v>
      </c>
    </row>
    <row r="73" spans="1:17" ht="15.75" thickBot="1" x14ac:dyDescent="0.25">
      <c r="A73" s="147" t="s">
        <v>279</v>
      </c>
      <c r="B73">
        <v>0.26382</v>
      </c>
      <c r="G73" s="147" t="s">
        <v>279</v>
      </c>
      <c r="H73">
        <v>0.26384000000000002</v>
      </c>
      <c r="P73" s="147" t="s">
        <v>279</v>
      </c>
      <c r="Q73" s="15">
        <f t="shared" si="7"/>
        <v>-2.0000000000020002E-5</v>
      </c>
    </row>
    <row r="74" spans="1:17" ht="15.75" thickBot="1" x14ac:dyDescent="0.25">
      <c r="A74" s="147" t="s">
        <v>280</v>
      </c>
      <c r="B74">
        <v>0.12584000000000001</v>
      </c>
      <c r="G74" s="147" t="s">
        <v>280</v>
      </c>
      <c r="H74">
        <v>0.12581000000000001</v>
      </c>
      <c r="P74" s="147" t="s">
        <v>280</v>
      </c>
      <c r="Q74" s="15">
        <f t="shared" si="7"/>
        <v>3.0000000000002247E-5</v>
      </c>
    </row>
    <row r="75" spans="1:17" ht="15.75" thickBot="1" x14ac:dyDescent="0.25">
      <c r="A75" s="148" t="s">
        <v>282</v>
      </c>
      <c r="B75">
        <v>0.12975999999999999</v>
      </c>
      <c r="G75" s="148" t="s">
        <v>282</v>
      </c>
      <c r="H75">
        <v>0.12978000000000001</v>
      </c>
      <c r="P75" s="148" t="s">
        <v>282</v>
      </c>
      <c r="Q75" s="15">
        <f t="shared" si="7"/>
        <v>-2.0000000000020002E-5</v>
      </c>
    </row>
    <row r="76" spans="1:17" ht="15.75" thickBot="1" x14ac:dyDescent="0.25">
      <c r="A76" s="148" t="s">
        <v>283</v>
      </c>
      <c r="B76">
        <v>0.22842999999999999</v>
      </c>
      <c r="G76" s="148" t="s">
        <v>283</v>
      </c>
      <c r="H76">
        <v>0.22846</v>
      </c>
      <c r="P76" s="148" t="s">
        <v>283</v>
      </c>
      <c r="Q76" s="15">
        <f t="shared" si="7"/>
        <v>-3.0000000000002247E-5</v>
      </c>
    </row>
    <row r="77" spans="1:17" x14ac:dyDescent="0.2">
      <c r="A77" s="150" t="s">
        <v>23</v>
      </c>
      <c r="B77">
        <v>0.18242</v>
      </c>
      <c r="G77" s="150" t="s">
        <v>23</v>
      </c>
      <c r="H77">
        <v>0.18231</v>
      </c>
      <c r="P77" s="150" t="s">
        <v>23</v>
      </c>
      <c r="Q77" s="15">
        <f t="shared" si="7"/>
        <v>1.0999999999999899E-4</v>
      </c>
    </row>
    <row r="78" spans="1:17" x14ac:dyDescent="0.2">
      <c r="A78" s="150" t="s">
        <v>24</v>
      </c>
      <c r="B78">
        <v>0.15182999999999999</v>
      </c>
      <c r="G78" s="150" t="s">
        <v>24</v>
      </c>
      <c r="H78">
        <v>0.15182999999999999</v>
      </c>
      <c r="P78" s="150" t="s">
        <v>24</v>
      </c>
      <c r="Q78" s="15">
        <f t="shared" si="7"/>
        <v>0</v>
      </c>
    </row>
    <row r="79" spans="1:17" x14ac:dyDescent="0.2">
      <c r="A79" s="150" t="s">
        <v>25</v>
      </c>
      <c r="B79">
        <v>0.15323000000000001</v>
      </c>
      <c r="G79" s="150" t="s">
        <v>25</v>
      </c>
      <c r="H79">
        <v>0.15323999999999999</v>
      </c>
      <c r="P79" s="150" t="s">
        <v>25</v>
      </c>
      <c r="Q79" s="15">
        <f t="shared" si="7"/>
        <v>-9.9999999999822453E-6</v>
      </c>
    </row>
    <row r="80" spans="1:17" x14ac:dyDescent="0.2">
      <c r="A80" s="150" t="s">
        <v>26</v>
      </c>
      <c r="B80">
        <v>0.15715999999999999</v>
      </c>
      <c r="G80" s="150" t="s">
        <v>26</v>
      </c>
      <c r="H80">
        <v>0.15709000000000001</v>
      </c>
      <c r="P80" s="150" t="s">
        <v>26</v>
      </c>
      <c r="Q80" s="15">
        <f t="shared" si="7"/>
        <v>6.9999999999986739E-5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0.14871999999999999</v>
      </c>
      <c r="P81" s="150" t="s">
        <v>27</v>
      </c>
      <c r="Q81" s="15">
        <f t="shared" si="7"/>
        <v>-1.1999999999998123E-4</v>
      </c>
    </row>
    <row r="82" spans="1:17" x14ac:dyDescent="0.2">
      <c r="A82" s="150" t="s">
        <v>28</v>
      </c>
      <c r="B82">
        <v>0.20960999999999999</v>
      </c>
      <c r="G82" s="150" t="s">
        <v>28</v>
      </c>
      <c r="H82">
        <v>0.20959</v>
      </c>
      <c r="P82" s="150" t="s">
        <v>28</v>
      </c>
      <c r="Q82" s="15">
        <f t="shared" si="7"/>
        <v>1.9999999999992246E-5</v>
      </c>
    </row>
  </sheetData>
  <mergeCells count="33">
    <mergeCell ref="H4:H5"/>
    <mergeCell ref="A61:C61"/>
    <mergeCell ref="G61:I61"/>
    <mergeCell ref="J26:J27"/>
    <mergeCell ref="K26:K27"/>
    <mergeCell ref="F4:F5"/>
    <mergeCell ref="M26:M27"/>
    <mergeCell ref="A2:M2"/>
    <mergeCell ref="B30:D30"/>
    <mergeCell ref="H30:J30"/>
    <mergeCell ref="M4:M5"/>
    <mergeCell ref="A26:A27"/>
    <mergeCell ref="B26:B27"/>
    <mergeCell ref="C26:C27"/>
    <mergeCell ref="D26:D27"/>
    <mergeCell ref="E26:E27"/>
    <mergeCell ref="F26:F27"/>
    <mergeCell ref="G26:G27"/>
    <mergeCell ref="H26:H27"/>
    <mergeCell ref="I26:I27"/>
    <mergeCell ref="G4:G5"/>
    <mergeCell ref="A4:A5"/>
    <mergeCell ref="B4:B5"/>
    <mergeCell ref="C4:C5"/>
    <mergeCell ref="D4:D5"/>
    <mergeCell ref="E4:E5"/>
    <mergeCell ref="P61:S61"/>
    <mergeCell ref="P29:S29"/>
    <mergeCell ref="I4:I5"/>
    <mergeCell ref="J4:J5"/>
    <mergeCell ref="K4:K5"/>
    <mergeCell ref="L4:L5"/>
    <mergeCell ref="L26:L27"/>
  </mergeCells>
  <phoneticPr fontId="6" type="noConversion"/>
  <conditionalFormatting sqref="Q32:Q59">
    <cfRule type="cellIs" dxfId="23" priority="11" operator="lessThan">
      <formula>-0.0001</formula>
    </cfRule>
    <cfRule type="cellIs" dxfId="22" priority="12" operator="greaterThan">
      <formula>0.0001</formula>
    </cfRule>
  </conditionalFormatting>
  <conditionalFormatting sqref="R32:R59">
    <cfRule type="cellIs" dxfId="21" priority="9" operator="lessThan">
      <formula>-0.0001</formula>
    </cfRule>
    <cfRule type="cellIs" dxfId="20" priority="10" operator="greaterThan">
      <formula>0.0001</formula>
    </cfRule>
  </conditionalFormatting>
  <conditionalFormatting sqref="S32:S59">
    <cfRule type="cellIs" dxfId="19" priority="7" operator="lessThan">
      <formula>-0.0001</formula>
    </cfRule>
    <cfRule type="cellIs" dxfId="18" priority="8" operator="greaterThan">
      <formula>0.0001</formula>
    </cfRule>
  </conditionalFormatting>
  <conditionalFormatting sqref="Q63:Q81">
    <cfRule type="cellIs" dxfId="17" priority="5" operator="lessThan">
      <formula>-0.0001</formula>
    </cfRule>
    <cfRule type="cellIs" dxfId="16" priority="6" operator="greaterThan">
      <formula>0.0001</formula>
    </cfRule>
  </conditionalFormatting>
  <conditionalFormatting sqref="Q82">
    <cfRule type="cellIs" dxfId="15" priority="3" operator="lessThan">
      <formula>-0.0001</formula>
    </cfRule>
    <cfRule type="cellIs" dxfId="14" priority="4" operator="greaterThan">
      <formula>0.0001</formula>
    </cfRule>
  </conditionalFormatting>
  <conditionalFormatting sqref="T32:T59">
    <cfRule type="cellIs" dxfId="13" priority="1" operator="lessThan">
      <formula>-0.0001</formula>
    </cfRule>
    <cfRule type="cellIs" dxfId="12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D4A30-DDA6-4F50-A561-581DB41E0BC5}">
  <dimension ref="A1:T82"/>
  <sheetViews>
    <sheetView tabSelected="1" workbookViewId="0">
      <selection activeCell="B1" sqref="B1"/>
    </sheetView>
  </sheetViews>
  <sheetFormatPr defaultRowHeight="15" x14ac:dyDescent="0.2"/>
  <cols>
    <col min="2" max="2" width="9.88671875" bestFit="1" customWidth="1"/>
    <col min="11" max="11" width="10.77734375" bestFit="1" customWidth="1"/>
  </cols>
  <sheetData>
    <row r="1" spans="1:13" x14ac:dyDescent="0.2">
      <c r="A1" s="138" t="s">
        <v>444</v>
      </c>
      <c r="B1" s="22">
        <v>44476</v>
      </c>
    </row>
    <row r="2" spans="1:13" ht="17.25" x14ac:dyDescent="0.2">
      <c r="A2" s="163" t="s">
        <v>432</v>
      </c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</row>
    <row r="3" spans="1:13" ht="15.75" thickBot="1" x14ac:dyDescent="0.25"/>
    <row r="4" spans="1:13" x14ac:dyDescent="0.2">
      <c r="A4" s="157" t="s">
        <v>135</v>
      </c>
      <c r="B4" s="157" t="s">
        <v>197</v>
      </c>
      <c r="C4" s="157" t="s">
        <v>198</v>
      </c>
      <c r="D4" s="157" t="s">
        <v>199</v>
      </c>
      <c r="E4" s="157" t="s">
        <v>200</v>
      </c>
      <c r="F4" s="157" t="s">
        <v>201</v>
      </c>
      <c r="G4" s="157" t="s">
        <v>202</v>
      </c>
      <c r="H4" s="157" t="s">
        <v>203</v>
      </c>
      <c r="I4" s="157" t="s">
        <v>204</v>
      </c>
      <c r="J4" s="168" t="s">
        <v>205</v>
      </c>
      <c r="K4" s="159" t="s">
        <v>206</v>
      </c>
      <c r="L4" s="157" t="s">
        <v>207</v>
      </c>
      <c r="M4" s="157" t="s">
        <v>208</v>
      </c>
    </row>
    <row r="5" spans="1:13" ht="15.75" thickBot="1" x14ac:dyDescent="0.25">
      <c r="A5" s="158"/>
      <c r="B5" s="158"/>
      <c r="C5" s="158"/>
      <c r="D5" s="158"/>
      <c r="E5" s="158"/>
      <c r="F5" s="158"/>
      <c r="G5" s="158"/>
      <c r="H5" s="158"/>
      <c r="I5" s="158"/>
      <c r="J5" s="168"/>
      <c r="K5" s="160"/>
      <c r="L5" s="158"/>
      <c r="M5" s="158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8">
        <v>9.0859999999999996E-2</v>
      </c>
      <c r="K6" s="149">
        <v>9.085E-2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8">
        <v>0.16400000000000001</v>
      </c>
      <c r="K7" s="149">
        <v>0.16402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8">
        <v>0.14605000000000001</v>
      </c>
      <c r="K8" s="149">
        <v>0.14609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8">
        <v>0.21314</v>
      </c>
      <c r="K9" s="149">
        <v>0.21310000000000001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8">
        <v>0.18607000000000001</v>
      </c>
      <c r="K10" s="149">
        <v>0.18606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8">
        <v>0.19972999999999999</v>
      </c>
      <c r="K11" s="149">
        <v>0.19969999999999999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8">
        <v>0.20499000000000001</v>
      </c>
      <c r="K12" s="149">
        <v>0.20499999999999999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8">
        <v>0.24687999999999999</v>
      </c>
      <c r="K13" s="149">
        <v>0.24690000000000001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8">
        <v>0.26762000000000002</v>
      </c>
      <c r="K14" s="149">
        <v>0.26762000000000002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8">
        <v>0.33306000000000002</v>
      </c>
      <c r="K15" s="149">
        <v>0.33306000000000002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8">
        <v>0.26384000000000002</v>
      </c>
      <c r="K16" s="149">
        <v>0.26384000000000002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8">
        <v>0.12583</v>
      </c>
      <c r="K17" s="149">
        <v>0.12583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8">
        <v>0.12977</v>
      </c>
      <c r="K18" s="149">
        <v>0.12975999999999999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8">
        <v>0.22844999999999999</v>
      </c>
      <c r="K19" s="149">
        <v>0.22850000000000001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8">
        <v>0.18239</v>
      </c>
      <c r="K20" s="149">
        <v>0.18239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8">
        <v>0.15182999999999999</v>
      </c>
      <c r="K21" s="149">
        <v>0.15182000000000001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8">
        <v>0.15323999999999999</v>
      </c>
      <c r="K22" s="149">
        <v>0.15329000000000001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8">
        <v>0.15709999999999999</v>
      </c>
      <c r="K23" s="149">
        <v>0.15712000000000001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8">
        <v>0.14865999999999999</v>
      </c>
      <c r="K24" s="149">
        <v>0.14862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8">
        <v>0.20962</v>
      </c>
      <c r="K25" s="149">
        <v>0.20965</v>
      </c>
      <c r="L25" s="148">
        <v>0.20968999999999999</v>
      </c>
      <c r="M25" s="148">
        <v>0.20973</v>
      </c>
    </row>
    <row r="26" spans="1:20" ht="15" customHeight="1" x14ac:dyDescent="0.2">
      <c r="A26" s="166" t="s">
        <v>433</v>
      </c>
      <c r="B26" s="166">
        <v>3.8037899999999998</v>
      </c>
      <c r="C26" s="166">
        <v>3.8038099999999999</v>
      </c>
      <c r="D26" s="166">
        <v>3.8036500000000002</v>
      </c>
      <c r="E26" s="166">
        <v>3.8034500000000002</v>
      </c>
      <c r="F26" s="166">
        <v>3.8030599999999999</v>
      </c>
      <c r="G26" s="166">
        <v>3.8030400000000002</v>
      </c>
      <c r="H26" s="166">
        <v>3.8029299999999999</v>
      </c>
      <c r="I26" s="166">
        <v>3.80288</v>
      </c>
      <c r="J26" s="166">
        <v>3.8031299999999999</v>
      </c>
      <c r="K26" s="169">
        <v>3.80322</v>
      </c>
      <c r="L26" s="166">
        <v>3.80348</v>
      </c>
      <c r="M26" s="166">
        <v>3.8036500000000002</v>
      </c>
    </row>
    <row r="27" spans="1:20" ht="15.75" customHeight="1" thickBot="1" x14ac:dyDescent="0.25">
      <c r="A27" s="167"/>
      <c r="B27" s="167"/>
      <c r="C27" s="167"/>
      <c r="D27" s="167"/>
      <c r="E27" s="167"/>
      <c r="F27" s="167"/>
      <c r="G27" s="167"/>
      <c r="H27" s="167"/>
      <c r="I27" s="167"/>
      <c r="J27" s="167"/>
      <c r="K27" s="170"/>
      <c r="L27" s="167"/>
      <c r="M27" s="167"/>
    </row>
    <row r="28" spans="1:20" ht="15.75" x14ac:dyDescent="0.25">
      <c r="J28" s="151" t="s">
        <v>446</v>
      </c>
      <c r="K28" s="15" cm="1">
        <f t="array" ref="K28:K29">K26-'26296_79918 (1)'!K26:K27</f>
        <v>-2.0000000000131024E-5</v>
      </c>
    </row>
    <row r="29" spans="1:20" x14ac:dyDescent="0.2">
      <c r="K29">
        <v>3.80322</v>
      </c>
      <c r="P29" s="156" t="s">
        <v>445</v>
      </c>
      <c r="Q29" s="156"/>
      <c r="R29" s="156"/>
      <c r="S29" s="156"/>
    </row>
    <row r="30" spans="1:20" ht="34.5" customHeight="1" x14ac:dyDescent="0.2">
      <c r="B30" s="157" t="s">
        <v>434</v>
      </c>
      <c r="C30" s="157"/>
      <c r="D30" s="157"/>
      <c r="E30" s="154"/>
      <c r="H30" s="157" t="s">
        <v>438</v>
      </c>
      <c r="I30" s="157"/>
      <c r="J30" s="157"/>
      <c r="K30" s="154"/>
      <c r="S30">
        <v>26296</v>
      </c>
      <c r="T30">
        <v>79918</v>
      </c>
    </row>
    <row r="31" spans="1:20" ht="15.75" x14ac:dyDescent="0.25">
      <c r="B31" s="153" t="s">
        <v>435</v>
      </c>
      <c r="C31" s="153" t="s">
        <v>436</v>
      </c>
      <c r="D31" s="153" t="s">
        <v>437</v>
      </c>
      <c r="E31" s="153" t="s">
        <v>442</v>
      </c>
      <c r="F31" s="153"/>
      <c r="G31" s="153"/>
      <c r="H31" s="153" t="s">
        <v>435</v>
      </c>
      <c r="I31" s="153" t="s">
        <v>436</v>
      </c>
      <c r="J31" s="153" t="s">
        <v>437</v>
      </c>
      <c r="K31" s="153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9.0840000000000004E-2</v>
      </c>
      <c r="I32">
        <v>9.0840000000000004E-2</v>
      </c>
      <c r="J32">
        <v>1.4E-5</v>
      </c>
      <c r="P32" s="147" t="s">
        <v>270</v>
      </c>
      <c r="Q32" s="15">
        <f t="shared" ref="Q32:R59" si="0">B32-H32</f>
        <v>-6.0000000000004494E-5</v>
      </c>
      <c r="R32" s="15">
        <f t="shared" si="0"/>
        <v>-6.0000000000004494E-5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0.16408</v>
      </c>
      <c r="C33">
        <v>0.16408</v>
      </c>
      <c r="D33">
        <v>2.1999999999999999E-5</v>
      </c>
      <c r="G33" s="147" t="s">
        <v>271</v>
      </c>
      <c r="H33">
        <v>0.16403000000000001</v>
      </c>
      <c r="I33">
        <v>0.16403000000000001</v>
      </c>
      <c r="J33">
        <v>1.4E-5</v>
      </c>
      <c r="P33" s="147" t="s">
        <v>271</v>
      </c>
      <c r="Q33" s="15">
        <f t="shared" si="0"/>
        <v>4.9999999999994493E-5</v>
      </c>
      <c r="R33" s="15">
        <f t="shared" si="0"/>
        <v>4.9999999999994493E-5</v>
      </c>
      <c r="S33" s="15">
        <f t="shared" ref="S33:S45" si="1">C33-B64</f>
        <v>0</v>
      </c>
      <c r="T33" s="15">
        <f t="shared" ref="T33:T45" si="2">I33-H64</f>
        <v>0</v>
      </c>
    </row>
    <row r="34" spans="1:20" ht="15.75" thickBot="1" x14ac:dyDescent="0.25">
      <c r="A34" s="147" t="s">
        <v>272</v>
      </c>
      <c r="B34">
        <v>0.14615</v>
      </c>
      <c r="C34">
        <v>0.14615</v>
      </c>
      <c r="D34">
        <v>2.1999999999999999E-5</v>
      </c>
      <c r="G34" s="147" t="s">
        <v>272</v>
      </c>
      <c r="H34">
        <v>0.14602999999999999</v>
      </c>
      <c r="I34">
        <v>0.14602999999999999</v>
      </c>
      <c r="J34">
        <v>1.4E-5</v>
      </c>
      <c r="P34" s="147" t="s">
        <v>272</v>
      </c>
      <c r="Q34" s="15">
        <f t="shared" si="0"/>
        <v>1.2000000000000899E-4</v>
      </c>
      <c r="R34" s="15">
        <f t="shared" si="0"/>
        <v>1.2000000000000899E-4</v>
      </c>
      <c r="S34" s="15">
        <f t="shared" si="1"/>
        <v>0</v>
      </c>
      <c r="T34" s="15">
        <f t="shared" si="2"/>
        <v>0</v>
      </c>
    </row>
    <row r="35" spans="1:20" ht="15.75" thickBot="1" x14ac:dyDescent="0.25">
      <c r="A35" s="147" t="s">
        <v>273</v>
      </c>
      <c r="B35">
        <v>0.21299999999999999</v>
      </c>
      <c r="C35">
        <v>0.21299999999999999</v>
      </c>
      <c r="D35">
        <v>1.4E-5</v>
      </c>
      <c r="G35" s="147" t="s">
        <v>273</v>
      </c>
      <c r="H35">
        <v>0.21318000000000001</v>
      </c>
      <c r="I35">
        <v>0.21318000000000001</v>
      </c>
      <c r="J35">
        <v>1.4E-5</v>
      </c>
      <c r="P35" s="147" t="s">
        <v>273</v>
      </c>
      <c r="Q35" s="15">
        <f t="shared" si="0"/>
        <v>-1.8000000000001348E-4</v>
      </c>
      <c r="R35" s="15">
        <f t="shared" si="0"/>
        <v>-1.8000000000001348E-4</v>
      </c>
      <c r="S35" s="15">
        <f t="shared" si="1"/>
        <v>0</v>
      </c>
      <c r="T35" s="15">
        <f t="shared" si="2"/>
        <v>0</v>
      </c>
    </row>
    <row r="36" spans="1:20" ht="15.75" thickBot="1" x14ac:dyDescent="0.25">
      <c r="A36" s="147" t="s">
        <v>281</v>
      </c>
      <c r="B36">
        <v>0.18607000000000001</v>
      </c>
      <c r="C36">
        <v>0.18607000000000001</v>
      </c>
      <c r="D36">
        <v>1.4E-5</v>
      </c>
      <c r="G36" s="147" t="s">
        <v>281</v>
      </c>
      <c r="H36">
        <v>0.18604999999999999</v>
      </c>
      <c r="I36">
        <v>0.18604999999999999</v>
      </c>
      <c r="J36">
        <v>1.4E-5</v>
      </c>
      <c r="P36" s="147" t="s">
        <v>281</v>
      </c>
      <c r="Q36" s="15">
        <f t="shared" si="0"/>
        <v>2.0000000000020002E-5</v>
      </c>
      <c r="R36" s="15">
        <f t="shared" si="0"/>
        <v>2.0000000000020002E-5</v>
      </c>
      <c r="S36" s="15">
        <f t="shared" si="1"/>
        <v>0</v>
      </c>
      <c r="T36" s="15">
        <f t="shared" si="2"/>
        <v>0</v>
      </c>
    </row>
    <row r="37" spans="1:20" ht="17.25" customHeight="1" thickBot="1" x14ac:dyDescent="0.25">
      <c r="A37" s="147" t="s">
        <v>274</v>
      </c>
      <c r="B37">
        <v>0.19977</v>
      </c>
      <c r="C37">
        <v>0.19977</v>
      </c>
      <c r="D37">
        <v>1.4E-5</v>
      </c>
      <c r="G37" s="147" t="s">
        <v>274</v>
      </c>
      <c r="H37">
        <v>0.19972999999999999</v>
      </c>
      <c r="I37">
        <v>0.19972999999999999</v>
      </c>
      <c r="J37">
        <v>2.1999999999999999E-5</v>
      </c>
      <c r="P37" s="147" t="s">
        <v>274</v>
      </c>
      <c r="Q37" s="15">
        <f t="shared" si="0"/>
        <v>4.0000000000012248E-5</v>
      </c>
      <c r="R37" s="15">
        <f t="shared" si="0"/>
        <v>4.0000000000012248E-5</v>
      </c>
      <c r="S37" s="15">
        <f t="shared" si="1"/>
        <v>0</v>
      </c>
      <c r="T37" s="15">
        <f t="shared" si="2"/>
        <v>0</v>
      </c>
    </row>
    <row r="38" spans="1:20" ht="15.75" thickBot="1" x14ac:dyDescent="0.25">
      <c r="A38" s="147" t="s">
        <v>275</v>
      </c>
      <c r="B38">
        <v>0.20494999999999999</v>
      </c>
      <c r="C38">
        <v>0.20494999999999999</v>
      </c>
      <c r="D38">
        <v>1.4E-5</v>
      </c>
      <c r="G38" s="147" t="s">
        <v>275</v>
      </c>
      <c r="H38">
        <v>0.20501</v>
      </c>
      <c r="I38">
        <v>0.20501</v>
      </c>
      <c r="J38">
        <v>2.1999999999999999E-5</v>
      </c>
      <c r="P38" s="147" t="s">
        <v>275</v>
      </c>
      <c r="Q38" s="15">
        <f t="shared" si="0"/>
        <v>-6.0000000000004494E-5</v>
      </c>
      <c r="R38" s="15">
        <f t="shared" si="0"/>
        <v>-6.0000000000004494E-5</v>
      </c>
      <c r="S38" s="15">
        <f t="shared" si="1"/>
        <v>-2.0000000000020002E-5</v>
      </c>
      <c r="T38" s="15">
        <f t="shared" si="2"/>
        <v>0</v>
      </c>
    </row>
    <row r="39" spans="1:20" ht="15.75" thickBot="1" x14ac:dyDescent="0.25">
      <c r="A39" s="147" t="s">
        <v>276</v>
      </c>
      <c r="B39">
        <v>0.24687000000000001</v>
      </c>
      <c r="C39">
        <v>0.24687000000000001</v>
      </c>
      <c r="D39">
        <v>1.4E-5</v>
      </c>
      <c r="G39" s="147" t="s">
        <v>276</v>
      </c>
      <c r="H39">
        <v>0.24693000000000001</v>
      </c>
      <c r="I39">
        <v>0.24693000000000001</v>
      </c>
      <c r="J39">
        <v>1.4E-5</v>
      </c>
      <c r="P39" s="147" t="s">
        <v>276</v>
      </c>
      <c r="Q39" s="15">
        <f t="shared" si="0"/>
        <v>-6.0000000000004494E-5</v>
      </c>
      <c r="R39" s="15">
        <f t="shared" si="0"/>
        <v>-6.0000000000004494E-5</v>
      </c>
      <c r="S39" s="15">
        <f t="shared" si="1"/>
        <v>-1.9999999999992246E-5</v>
      </c>
      <c r="T39" s="15">
        <f t="shared" si="2"/>
        <v>2.0000000000020002E-5</v>
      </c>
    </row>
    <row r="40" spans="1:20" ht="15.75" thickBot="1" x14ac:dyDescent="0.25">
      <c r="A40" s="147" t="s">
        <v>277</v>
      </c>
      <c r="B40">
        <v>0.26766000000000001</v>
      </c>
      <c r="C40">
        <v>0.26766000000000001</v>
      </c>
      <c r="D40">
        <v>1.4E-5</v>
      </c>
      <c r="G40" s="147" t="s">
        <v>277</v>
      </c>
      <c r="H40">
        <v>0.26758999999999999</v>
      </c>
      <c r="I40">
        <v>0.26758999999999999</v>
      </c>
      <c r="J40">
        <v>1.4E-5</v>
      </c>
      <c r="P40" s="147" t="s">
        <v>277</v>
      </c>
      <c r="Q40" s="15">
        <f t="shared" si="0"/>
        <v>7.0000000000014495E-5</v>
      </c>
      <c r="R40" s="15">
        <f t="shared" si="0"/>
        <v>7.0000000000014495E-5</v>
      </c>
      <c r="S40" s="15">
        <f t="shared" si="1"/>
        <v>3.0000000000030003E-5</v>
      </c>
      <c r="T40" s="15">
        <f t="shared" si="2"/>
        <v>0</v>
      </c>
    </row>
    <row r="41" spans="1:20" ht="15.75" thickBot="1" x14ac:dyDescent="0.25">
      <c r="A41" s="147" t="s">
        <v>439</v>
      </c>
      <c r="B41">
        <v>0.33306999999999998</v>
      </c>
      <c r="C41">
        <v>0.33306999999999998</v>
      </c>
      <c r="D41">
        <v>1.4E-5</v>
      </c>
      <c r="G41" s="147" t="s">
        <v>439</v>
      </c>
      <c r="H41">
        <v>0.33306999999999998</v>
      </c>
      <c r="I41">
        <v>0.33306999999999998</v>
      </c>
      <c r="J41">
        <v>1.4E-5</v>
      </c>
      <c r="P41" s="147" t="s">
        <v>439</v>
      </c>
      <c r="Q41" s="15">
        <f t="shared" si="0"/>
        <v>0</v>
      </c>
      <c r="R41" s="15">
        <f t="shared" si="0"/>
        <v>0</v>
      </c>
      <c r="S41" s="15">
        <f t="shared" si="1"/>
        <v>1.9999999999964491E-5</v>
      </c>
      <c r="T41" s="15">
        <f t="shared" si="2"/>
        <v>0</v>
      </c>
    </row>
    <row r="42" spans="1:20" ht="15.75" thickBot="1" x14ac:dyDescent="0.25">
      <c r="A42" s="147" t="s">
        <v>279</v>
      </c>
      <c r="B42">
        <v>0.26384999999999997</v>
      </c>
      <c r="C42">
        <v>0.26384999999999997</v>
      </c>
      <c r="D42">
        <v>1.4E-5</v>
      </c>
      <c r="G42" s="147" t="s">
        <v>279</v>
      </c>
      <c r="H42">
        <v>0.26385999999999998</v>
      </c>
      <c r="I42">
        <v>0.26385999999999998</v>
      </c>
      <c r="J42">
        <v>1.4E-5</v>
      </c>
      <c r="P42" s="147" t="s">
        <v>279</v>
      </c>
      <c r="Q42" s="15">
        <f t="shared" si="0"/>
        <v>-1.0000000000010001E-5</v>
      </c>
      <c r="R42" s="15">
        <f t="shared" si="0"/>
        <v>-1.0000000000010001E-5</v>
      </c>
      <c r="S42" s="15">
        <f t="shared" si="1"/>
        <v>-1.0000000000010001E-5</v>
      </c>
      <c r="T42" s="15">
        <f t="shared" si="2"/>
        <v>1.0000000000010001E-5</v>
      </c>
    </row>
    <row r="43" spans="1:20" ht="15.75" thickBot="1" x14ac:dyDescent="0.25">
      <c r="A43" s="147" t="s">
        <v>280</v>
      </c>
      <c r="B43">
        <v>0.12584000000000001</v>
      </c>
      <c r="C43">
        <v>0.12584000000000001</v>
      </c>
      <c r="D43">
        <v>1.4E-5</v>
      </c>
      <c r="G43" s="147" t="s">
        <v>280</v>
      </c>
      <c r="H43">
        <v>0.12583</v>
      </c>
      <c r="I43">
        <v>0.12583</v>
      </c>
      <c r="J43">
        <v>1.4E-5</v>
      </c>
      <c r="P43" s="147" t="s">
        <v>280</v>
      </c>
      <c r="Q43" s="15">
        <f t="shared" si="0"/>
        <v>1.0000000000010001E-5</v>
      </c>
      <c r="R43" s="15">
        <f t="shared" si="0"/>
        <v>1.0000000000010001E-5</v>
      </c>
      <c r="S43" s="15">
        <f t="shared" si="1"/>
        <v>-9.9999999999822453E-6</v>
      </c>
      <c r="T43" s="15">
        <f t="shared" si="2"/>
        <v>-1.0000000000010001E-5</v>
      </c>
    </row>
    <row r="44" spans="1:20" ht="15.75" thickBot="1" x14ac:dyDescent="0.25">
      <c r="A44" s="148" t="s">
        <v>282</v>
      </c>
      <c r="B44">
        <v>0.12977</v>
      </c>
      <c r="C44">
        <v>0.12977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-1.0000000000010001E-5</v>
      </c>
      <c r="R44" s="15">
        <f t="shared" si="0"/>
        <v>-1.0000000000010001E-5</v>
      </c>
      <c r="S44" s="15">
        <f t="shared" si="1"/>
        <v>0</v>
      </c>
      <c r="T44" s="15">
        <f t="shared" si="2"/>
        <v>1.0000000000010001E-5</v>
      </c>
    </row>
    <row r="45" spans="1:20" ht="15.75" thickBot="1" x14ac:dyDescent="0.25">
      <c r="A45" s="148" t="s">
        <v>283</v>
      </c>
      <c r="B45">
        <v>0.22847000000000001</v>
      </c>
      <c r="C45">
        <v>0.22847000000000001</v>
      </c>
      <c r="D45">
        <v>2.1999999999999999E-5</v>
      </c>
      <c r="G45" s="148" t="s">
        <v>283</v>
      </c>
      <c r="H45">
        <v>0.22842000000000001</v>
      </c>
      <c r="I45">
        <v>0.22842000000000001</v>
      </c>
      <c r="J45">
        <v>1.4E-5</v>
      </c>
      <c r="P45" s="148" t="s">
        <v>283</v>
      </c>
      <c r="Q45" s="15">
        <f t="shared" si="0"/>
        <v>4.9999999999994493E-5</v>
      </c>
      <c r="R45" s="15">
        <f t="shared" si="0"/>
        <v>4.9999999999994493E-5</v>
      </c>
      <c r="S45" s="15">
        <f t="shared" si="1"/>
        <v>1.0000000000010001E-5</v>
      </c>
      <c r="T45" s="15">
        <f t="shared" si="2"/>
        <v>-9.9999999999822453E-6</v>
      </c>
    </row>
    <row r="46" spans="1:20" ht="15.75" thickBot="1" x14ac:dyDescent="0.25">
      <c r="A46" s="148" t="s">
        <v>275</v>
      </c>
      <c r="B46">
        <v>0.20499999999999999</v>
      </c>
      <c r="C46">
        <v>0.20499999999999999</v>
      </c>
      <c r="D46">
        <v>1.4E-5</v>
      </c>
      <c r="G46" s="148" t="s">
        <v>275</v>
      </c>
      <c r="H46">
        <v>0.20501</v>
      </c>
      <c r="I46">
        <v>0.20501</v>
      </c>
      <c r="J46">
        <v>1.4E-5</v>
      </c>
      <c r="P46" s="148" t="s">
        <v>275</v>
      </c>
      <c r="Q46" s="15">
        <f t="shared" si="0"/>
        <v>-1.0000000000010001E-5</v>
      </c>
      <c r="R46" s="15">
        <f t="shared" si="0"/>
        <v>-1.0000000000010001E-5</v>
      </c>
      <c r="S46" s="15">
        <f>C38-B69</f>
        <v>-2.0000000000020002E-5</v>
      </c>
      <c r="T46" s="15">
        <f>I46-H69</f>
        <v>0</v>
      </c>
    </row>
    <row r="47" spans="1:20" ht="15.75" thickBot="1" x14ac:dyDescent="0.25">
      <c r="A47" s="148" t="s">
        <v>276</v>
      </c>
      <c r="B47">
        <v>0.24690999999999999</v>
      </c>
      <c r="C47">
        <v>0.24690999999999999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9.9999999999822453E-6</v>
      </c>
      <c r="R47" s="15">
        <f t="shared" si="0"/>
        <v>9.9999999999822453E-6</v>
      </c>
      <c r="S47" s="15">
        <f t="shared" ref="S47:S53" si="3">C39-B70</f>
        <v>-1.9999999999992246E-5</v>
      </c>
      <c r="T47" s="15">
        <f t="shared" ref="T47:T59" si="4">I47-H70</f>
        <v>-9.9999999999822453E-6</v>
      </c>
    </row>
    <row r="48" spans="1:20" ht="15.75" thickBot="1" x14ac:dyDescent="0.25">
      <c r="A48" s="148" t="s">
        <v>277</v>
      </c>
      <c r="B48">
        <v>0.2676</v>
      </c>
      <c r="C48">
        <v>0.2676</v>
      </c>
      <c r="D48">
        <v>1.4E-5</v>
      </c>
      <c r="G48" s="148" t="s">
        <v>277</v>
      </c>
      <c r="H48">
        <v>0.2676</v>
      </c>
      <c r="I48">
        <v>0.2676</v>
      </c>
      <c r="J48">
        <v>2.1999999999999999E-5</v>
      </c>
      <c r="P48" s="148" t="s">
        <v>277</v>
      </c>
      <c r="Q48" s="15">
        <f t="shared" si="0"/>
        <v>0</v>
      </c>
      <c r="R48" s="15">
        <f t="shared" si="0"/>
        <v>0</v>
      </c>
      <c r="S48" s="15">
        <f t="shared" si="3"/>
        <v>3.0000000000030003E-5</v>
      </c>
      <c r="T48" s="15">
        <f t="shared" si="4"/>
        <v>1.0000000000010001E-5</v>
      </c>
    </row>
    <row r="49" spans="1:20" ht="15.75" thickBot="1" x14ac:dyDescent="0.25">
      <c r="A49" s="147" t="s">
        <v>278</v>
      </c>
      <c r="B49">
        <v>0.33302999999999999</v>
      </c>
      <c r="C49">
        <v>0.33302999999999999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2.8E-5</v>
      </c>
      <c r="P49" s="147" t="s">
        <v>278</v>
      </c>
      <c r="Q49" s="15">
        <f t="shared" si="0"/>
        <v>-3.9999999999984492E-5</v>
      </c>
      <c r="R49" s="15">
        <f t="shared" si="0"/>
        <v>-3.9999999999984492E-5</v>
      </c>
      <c r="S49" s="15">
        <f t="shared" si="3"/>
        <v>1.9999999999964491E-5</v>
      </c>
      <c r="T49" s="15">
        <f t="shared" si="4"/>
        <v>0</v>
      </c>
    </row>
    <row r="50" spans="1:20" ht="15.75" thickBot="1" x14ac:dyDescent="0.25">
      <c r="A50" s="148" t="s">
        <v>279</v>
      </c>
      <c r="B50">
        <v>0.26386999999999999</v>
      </c>
      <c r="C50">
        <v>0.26386999999999999</v>
      </c>
      <c r="D50">
        <v>1.4E-5</v>
      </c>
      <c r="G50" s="148" t="s">
        <v>279</v>
      </c>
      <c r="H50">
        <v>0.26380999999999999</v>
      </c>
      <c r="I50">
        <v>0.26380999999999999</v>
      </c>
      <c r="J50">
        <v>2.1999999999999999E-5</v>
      </c>
      <c r="P50" s="148" t="s">
        <v>279</v>
      </c>
      <c r="Q50" s="15">
        <f t="shared" si="0"/>
        <v>6.0000000000004494E-5</v>
      </c>
      <c r="R50" s="15">
        <f t="shared" si="0"/>
        <v>6.0000000000004494E-5</v>
      </c>
      <c r="S50" s="15">
        <f t="shared" si="3"/>
        <v>-1.0000000000010001E-5</v>
      </c>
      <c r="T50" s="15">
        <f t="shared" si="4"/>
        <v>-3.9999999999984492E-5</v>
      </c>
    </row>
    <row r="51" spans="1:20" x14ac:dyDescent="0.2">
      <c r="A51" s="150" t="s">
        <v>280</v>
      </c>
      <c r="B51">
        <v>0.12584999999999999</v>
      </c>
      <c r="C51">
        <v>0.12584999999999999</v>
      </c>
      <c r="D51">
        <v>1.4E-5</v>
      </c>
      <c r="G51" s="150" t="s">
        <v>280</v>
      </c>
      <c r="H51">
        <v>0.12587999999999999</v>
      </c>
      <c r="I51">
        <v>0.12587999999999999</v>
      </c>
      <c r="J51">
        <v>2.1999999999999999E-5</v>
      </c>
      <c r="P51" s="150" t="s">
        <v>280</v>
      </c>
      <c r="Q51" s="15">
        <f t="shared" si="0"/>
        <v>-3.0000000000002247E-5</v>
      </c>
      <c r="R51" s="15">
        <f t="shared" si="0"/>
        <v>-3.0000000000002247E-5</v>
      </c>
      <c r="S51" s="15">
        <f>C43-B74</f>
        <v>-9.9999999999822453E-6</v>
      </c>
      <c r="T51" s="15">
        <f t="shared" si="4"/>
        <v>3.9999999999984492E-5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0.12973999999999999</v>
      </c>
      <c r="I52">
        <v>0.12973999999999999</v>
      </c>
      <c r="J52">
        <v>2.1999999999999999E-5</v>
      </c>
      <c r="P52" s="150" t="s">
        <v>21</v>
      </c>
      <c r="Q52" s="15">
        <f t="shared" si="0"/>
        <v>3.0000000000002247E-5</v>
      </c>
      <c r="R52" s="15">
        <f t="shared" si="0"/>
        <v>3.0000000000002247E-5</v>
      </c>
      <c r="S52" s="15">
        <f t="shared" si="3"/>
        <v>0</v>
      </c>
      <c r="T52" s="15">
        <f t="shared" si="4"/>
        <v>-3.0000000000002247E-5</v>
      </c>
    </row>
    <row r="53" spans="1:20" x14ac:dyDescent="0.2">
      <c r="A53" s="150" t="s">
        <v>22</v>
      </c>
      <c r="B53">
        <v>0.22846</v>
      </c>
      <c r="C53">
        <v>0.22846</v>
      </c>
      <c r="D53">
        <v>1.4E-5</v>
      </c>
      <c r="G53" s="150" t="s">
        <v>22</v>
      </c>
      <c r="H53">
        <v>0.22844</v>
      </c>
      <c r="I53">
        <v>0.22844</v>
      </c>
      <c r="J53">
        <v>1.4E-5</v>
      </c>
      <c r="P53" s="150" t="s">
        <v>22</v>
      </c>
      <c r="Q53" s="15">
        <f t="shared" si="0"/>
        <v>1.9999999999992246E-5</v>
      </c>
      <c r="R53" s="15">
        <f t="shared" si="0"/>
        <v>1.9999999999992246E-5</v>
      </c>
      <c r="S53" s="15">
        <f t="shared" si="3"/>
        <v>1.0000000000010001E-5</v>
      </c>
      <c r="T53" s="15">
        <f t="shared" si="4"/>
        <v>1.0000000000010001E-5</v>
      </c>
    </row>
    <row r="54" spans="1:20" x14ac:dyDescent="0.2">
      <c r="A54" s="150" t="s">
        <v>23</v>
      </c>
      <c r="B54">
        <v>0.18239</v>
      </c>
      <c r="C54">
        <v>0.18239</v>
      </c>
      <c r="D54">
        <v>1.4E-5</v>
      </c>
      <c r="G54" s="150" t="s">
        <v>23</v>
      </c>
      <c r="H54">
        <v>0.18242</v>
      </c>
      <c r="I54">
        <v>0.18242</v>
      </c>
      <c r="J54">
        <v>1.4E-5</v>
      </c>
      <c r="P54" s="150" t="s">
        <v>23</v>
      </c>
      <c r="Q54" s="15">
        <f t="shared" si="0"/>
        <v>-3.0000000000002247E-5</v>
      </c>
      <c r="R54" s="15">
        <f t="shared" si="0"/>
        <v>-3.0000000000002247E-5</v>
      </c>
      <c r="S54" s="15">
        <f>C54-B77</f>
        <v>0</v>
      </c>
      <c r="T54" s="15">
        <f t="shared" si="4"/>
        <v>0</v>
      </c>
    </row>
    <row r="55" spans="1:20" x14ac:dyDescent="0.2">
      <c r="A55" s="150" t="s">
        <v>24</v>
      </c>
      <c r="B55">
        <v>0.15182000000000001</v>
      </c>
      <c r="C55">
        <v>0.15182000000000001</v>
      </c>
      <c r="D55">
        <v>1.4E-5</v>
      </c>
      <c r="G55" s="150" t="s">
        <v>24</v>
      </c>
      <c r="H55">
        <v>0.15182000000000001</v>
      </c>
      <c r="I55">
        <v>0.15182000000000001</v>
      </c>
      <c r="J55">
        <v>1.4E-5</v>
      </c>
      <c r="P55" s="150" t="s">
        <v>24</v>
      </c>
      <c r="Q55" s="15">
        <f t="shared" si="0"/>
        <v>0</v>
      </c>
      <c r="R55" s="15">
        <f t="shared" si="0"/>
        <v>0</v>
      </c>
      <c r="S55" s="15">
        <f t="shared" ref="S55:S59" si="5">C55-B78</f>
        <v>0</v>
      </c>
      <c r="T55" s="15">
        <f t="shared" si="4"/>
        <v>0</v>
      </c>
    </row>
    <row r="56" spans="1:20" x14ac:dyDescent="0.2">
      <c r="A56" s="150" t="s">
        <v>25</v>
      </c>
      <c r="B56">
        <v>0.15323999999999999</v>
      </c>
      <c r="C56">
        <v>0.15323999999999999</v>
      </c>
      <c r="D56">
        <v>1.4E-5</v>
      </c>
      <c r="G56" s="150" t="s">
        <v>25</v>
      </c>
      <c r="H56">
        <v>0.15328</v>
      </c>
      <c r="I56">
        <v>0.15328</v>
      </c>
      <c r="J56">
        <v>2.1999999999999999E-5</v>
      </c>
      <c r="P56" s="150" t="s">
        <v>25</v>
      </c>
      <c r="Q56" s="15">
        <f t="shared" si="0"/>
        <v>-4.0000000000012248E-5</v>
      </c>
      <c r="R56" s="15">
        <f t="shared" si="0"/>
        <v>-4.0000000000012248E-5</v>
      </c>
      <c r="S56" s="15">
        <f t="shared" si="5"/>
        <v>0</v>
      </c>
      <c r="T56" s="15">
        <f t="shared" si="4"/>
        <v>0</v>
      </c>
    </row>
    <row r="57" spans="1:20" x14ac:dyDescent="0.2">
      <c r="A57" s="150" t="s">
        <v>26</v>
      </c>
      <c r="B57">
        <v>0.15712000000000001</v>
      </c>
      <c r="C57">
        <v>0.15712000000000001</v>
      </c>
      <c r="D57">
        <v>2.1999999999999999E-5</v>
      </c>
      <c r="G57" s="150" t="s">
        <v>26</v>
      </c>
      <c r="H57">
        <v>0.15711</v>
      </c>
      <c r="I57">
        <v>0.15711</v>
      </c>
      <c r="J57">
        <v>2.8E-5</v>
      </c>
      <c r="P57" s="150" t="s">
        <v>26</v>
      </c>
      <c r="Q57" s="15">
        <f t="shared" si="0"/>
        <v>1.0000000000010001E-5</v>
      </c>
      <c r="R57" s="15">
        <f t="shared" si="0"/>
        <v>1.0000000000010001E-5</v>
      </c>
      <c r="S57" s="15">
        <f t="shared" si="5"/>
        <v>0</v>
      </c>
      <c r="T57" s="15">
        <f t="shared" si="4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2.8E-5</v>
      </c>
      <c r="G58" s="150" t="s">
        <v>27</v>
      </c>
      <c r="H58">
        <v>0.14860000000000001</v>
      </c>
      <c r="I58">
        <v>0.14860000000000001</v>
      </c>
      <c r="J58">
        <v>2.1999999999999999E-5</v>
      </c>
      <c r="P58" s="150" t="s">
        <v>27</v>
      </c>
      <c r="Q58" s="15">
        <f t="shared" si="0"/>
        <v>0</v>
      </c>
      <c r="R58" s="15">
        <f t="shared" si="0"/>
        <v>0</v>
      </c>
      <c r="S58" s="15">
        <f t="shared" si="5"/>
        <v>0</v>
      </c>
      <c r="T58" s="15">
        <f t="shared" si="4"/>
        <v>0</v>
      </c>
    </row>
    <row r="59" spans="1:20" x14ac:dyDescent="0.2">
      <c r="A59" s="150" t="s">
        <v>28</v>
      </c>
      <c r="B59">
        <v>0.20966000000000001</v>
      </c>
      <c r="C59">
        <v>0.20966000000000001</v>
      </c>
      <c r="D59">
        <v>2.8E-5</v>
      </c>
      <c r="G59" s="150" t="s">
        <v>28</v>
      </c>
      <c r="H59">
        <v>0.20967</v>
      </c>
      <c r="I59">
        <v>0.20967</v>
      </c>
      <c r="J59">
        <v>2.1999999999999999E-5</v>
      </c>
      <c r="P59" s="150" t="s">
        <v>28</v>
      </c>
      <c r="Q59" s="15">
        <f t="shared" si="0"/>
        <v>-9.9999999999822453E-6</v>
      </c>
      <c r="R59" s="15">
        <f t="shared" si="0"/>
        <v>-9.9999999999822453E-6</v>
      </c>
      <c r="S59" s="15">
        <f t="shared" si="5"/>
        <v>0</v>
      </c>
      <c r="T59" s="15">
        <f t="shared" si="4"/>
        <v>0</v>
      </c>
    </row>
    <row r="61" spans="1:20" ht="60" customHeight="1" x14ac:dyDescent="0.2">
      <c r="A61" s="157" t="s">
        <v>434</v>
      </c>
      <c r="B61" s="157"/>
      <c r="C61" s="157"/>
      <c r="G61" s="157" t="s">
        <v>438</v>
      </c>
      <c r="H61" s="157"/>
      <c r="I61" s="157"/>
      <c r="P61" s="156" t="s">
        <v>445</v>
      </c>
      <c r="Q61" s="156"/>
      <c r="R61" s="156"/>
      <c r="S61" s="156"/>
    </row>
    <row r="62" spans="1:20" ht="15.75" x14ac:dyDescent="0.25">
      <c r="B62" s="153" t="s">
        <v>442</v>
      </c>
      <c r="H62" s="153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9.0840000000000004E-2</v>
      </c>
      <c r="P63" s="147" t="s">
        <v>270</v>
      </c>
      <c r="Q63" s="15">
        <f>B63-H63</f>
        <v>-6.0000000000004494E-5</v>
      </c>
    </row>
    <row r="64" spans="1:20" ht="15.75" thickBot="1" x14ac:dyDescent="0.25">
      <c r="A64" s="147" t="s">
        <v>271</v>
      </c>
      <c r="B64">
        <v>0.16408</v>
      </c>
      <c r="G64" s="147" t="s">
        <v>271</v>
      </c>
      <c r="H64">
        <v>0.16403000000000001</v>
      </c>
      <c r="P64" s="147" t="s">
        <v>271</v>
      </c>
      <c r="Q64" s="15">
        <f t="shared" ref="Q64:Q82" si="6">B64-H64</f>
        <v>4.9999999999994493E-5</v>
      </c>
    </row>
    <row r="65" spans="1:17" ht="15.75" thickBot="1" x14ac:dyDescent="0.25">
      <c r="A65" s="147" t="s">
        <v>272</v>
      </c>
      <c r="B65">
        <v>0.14615</v>
      </c>
      <c r="G65" s="147" t="s">
        <v>272</v>
      </c>
      <c r="H65">
        <v>0.14602999999999999</v>
      </c>
      <c r="P65" s="147" t="s">
        <v>272</v>
      </c>
      <c r="Q65" s="15">
        <f t="shared" si="6"/>
        <v>1.2000000000000899E-4</v>
      </c>
    </row>
    <row r="66" spans="1:17" ht="15.75" thickBot="1" x14ac:dyDescent="0.25">
      <c r="A66" s="147" t="s">
        <v>273</v>
      </c>
      <c r="B66">
        <v>0.21299999999999999</v>
      </c>
      <c r="G66" s="147" t="s">
        <v>273</v>
      </c>
      <c r="H66">
        <v>0.21318000000000001</v>
      </c>
      <c r="P66" s="147" t="s">
        <v>273</v>
      </c>
      <c r="Q66" s="15">
        <f t="shared" si="6"/>
        <v>-1.8000000000001348E-4</v>
      </c>
    </row>
    <row r="67" spans="1:17" ht="15.75" thickBot="1" x14ac:dyDescent="0.25">
      <c r="A67" s="147" t="s">
        <v>281</v>
      </c>
      <c r="B67">
        <v>0.18607000000000001</v>
      </c>
      <c r="G67" s="147" t="s">
        <v>281</v>
      </c>
      <c r="H67">
        <v>0.18604999999999999</v>
      </c>
      <c r="P67" s="147" t="s">
        <v>281</v>
      </c>
      <c r="Q67" s="15">
        <f t="shared" si="6"/>
        <v>2.0000000000020002E-5</v>
      </c>
    </row>
    <row r="68" spans="1:17" ht="15.75" thickBot="1" x14ac:dyDescent="0.25">
      <c r="A68" s="147" t="s">
        <v>274</v>
      </c>
      <c r="B68">
        <v>0.19977</v>
      </c>
      <c r="G68" s="147" t="s">
        <v>274</v>
      </c>
      <c r="H68">
        <v>0.19972999999999999</v>
      </c>
      <c r="P68" s="147" t="s">
        <v>274</v>
      </c>
      <c r="Q68" s="15">
        <f t="shared" si="6"/>
        <v>4.0000000000012248E-5</v>
      </c>
    </row>
    <row r="69" spans="1:17" ht="15.75" thickBot="1" x14ac:dyDescent="0.25">
      <c r="A69" s="147" t="s">
        <v>275</v>
      </c>
      <c r="B69">
        <v>0.20497000000000001</v>
      </c>
      <c r="G69" s="147" t="s">
        <v>275</v>
      </c>
      <c r="H69">
        <v>0.20501</v>
      </c>
      <c r="P69" s="147" t="s">
        <v>275</v>
      </c>
      <c r="Q69" s="15">
        <f t="shared" si="6"/>
        <v>-3.9999999999984492E-5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0.24690999999999999</v>
      </c>
      <c r="P70" s="147" t="s">
        <v>276</v>
      </c>
      <c r="Q70" s="15">
        <f t="shared" si="6"/>
        <v>-1.9999999999992246E-5</v>
      </c>
    </row>
    <row r="71" spans="1:17" ht="15.75" thickBot="1" x14ac:dyDescent="0.25">
      <c r="A71" s="147" t="s">
        <v>277</v>
      </c>
      <c r="B71">
        <v>0.26762999999999998</v>
      </c>
      <c r="G71" s="147" t="s">
        <v>277</v>
      </c>
      <c r="H71">
        <v>0.26758999999999999</v>
      </c>
      <c r="P71" s="147" t="s">
        <v>277</v>
      </c>
      <c r="Q71" s="15">
        <f t="shared" si="6"/>
        <v>3.9999999999984492E-5</v>
      </c>
    </row>
    <row r="72" spans="1:17" ht="15.75" thickBot="1" x14ac:dyDescent="0.25">
      <c r="A72" s="147" t="s">
        <v>439</v>
      </c>
      <c r="B72">
        <v>0.33305000000000001</v>
      </c>
      <c r="G72" s="147" t="s">
        <v>439</v>
      </c>
      <c r="H72">
        <v>0.33306999999999998</v>
      </c>
      <c r="P72" s="147" t="s">
        <v>439</v>
      </c>
      <c r="Q72" s="15">
        <f t="shared" si="6"/>
        <v>-1.9999999999964491E-5</v>
      </c>
    </row>
    <row r="73" spans="1:17" ht="15.75" thickBot="1" x14ac:dyDescent="0.25">
      <c r="A73" s="147" t="s">
        <v>279</v>
      </c>
      <c r="B73">
        <v>0.26385999999999998</v>
      </c>
      <c r="G73" s="147" t="s">
        <v>279</v>
      </c>
      <c r="H73">
        <v>0.26384999999999997</v>
      </c>
      <c r="P73" s="147" t="s">
        <v>279</v>
      </c>
      <c r="Q73" s="15">
        <f t="shared" si="6"/>
        <v>1.0000000000010001E-5</v>
      </c>
    </row>
    <row r="74" spans="1:17" ht="15.75" thickBot="1" x14ac:dyDescent="0.25">
      <c r="A74" s="147" t="s">
        <v>280</v>
      </c>
      <c r="B74">
        <v>0.12584999999999999</v>
      </c>
      <c r="G74" s="147" t="s">
        <v>280</v>
      </c>
      <c r="H74">
        <v>0.12584000000000001</v>
      </c>
      <c r="P74" s="147" t="s">
        <v>280</v>
      </c>
      <c r="Q74" s="15">
        <f t="shared" si="6"/>
        <v>9.9999999999822453E-6</v>
      </c>
    </row>
    <row r="75" spans="1:17" ht="15.75" thickBot="1" x14ac:dyDescent="0.25">
      <c r="A75" s="148" t="s">
        <v>282</v>
      </c>
      <c r="B75">
        <v>0.12977</v>
      </c>
      <c r="G75" s="148" t="s">
        <v>282</v>
      </c>
      <c r="H75">
        <v>0.12977</v>
      </c>
      <c r="P75" s="148" t="s">
        <v>282</v>
      </c>
      <c r="Q75" s="15">
        <f t="shared" si="6"/>
        <v>0</v>
      </c>
    </row>
    <row r="76" spans="1:17" ht="15.75" thickBot="1" x14ac:dyDescent="0.25">
      <c r="A76" s="148" t="s">
        <v>283</v>
      </c>
      <c r="B76">
        <v>0.22846</v>
      </c>
      <c r="G76" s="148" t="s">
        <v>283</v>
      </c>
      <c r="H76">
        <v>0.22842999999999999</v>
      </c>
      <c r="P76" s="148" t="s">
        <v>283</v>
      </c>
      <c r="Q76" s="15">
        <f t="shared" si="6"/>
        <v>3.0000000000002247E-5</v>
      </c>
    </row>
    <row r="77" spans="1:17" x14ac:dyDescent="0.2">
      <c r="A77" s="150" t="s">
        <v>23</v>
      </c>
      <c r="B77">
        <v>0.18239</v>
      </c>
      <c r="G77" s="150" t="s">
        <v>23</v>
      </c>
      <c r="H77">
        <v>0.18242</v>
      </c>
      <c r="P77" s="150" t="s">
        <v>23</v>
      </c>
      <c r="Q77" s="15">
        <f t="shared" si="6"/>
        <v>-3.0000000000002247E-5</v>
      </c>
    </row>
    <row r="78" spans="1:17" x14ac:dyDescent="0.2">
      <c r="A78" s="150" t="s">
        <v>24</v>
      </c>
      <c r="B78">
        <v>0.15182000000000001</v>
      </c>
      <c r="G78" s="150" t="s">
        <v>24</v>
      </c>
      <c r="H78">
        <v>0.15182000000000001</v>
      </c>
      <c r="P78" s="150" t="s">
        <v>24</v>
      </c>
      <c r="Q78" s="15">
        <f t="shared" si="6"/>
        <v>0</v>
      </c>
    </row>
    <row r="79" spans="1:17" x14ac:dyDescent="0.2">
      <c r="A79" s="150" t="s">
        <v>25</v>
      </c>
      <c r="B79">
        <v>0.15323999999999999</v>
      </c>
      <c r="G79" s="150" t="s">
        <v>25</v>
      </c>
      <c r="H79">
        <v>0.15328</v>
      </c>
      <c r="P79" s="150" t="s">
        <v>25</v>
      </c>
      <c r="Q79" s="15">
        <f t="shared" si="6"/>
        <v>-4.0000000000012248E-5</v>
      </c>
    </row>
    <row r="80" spans="1:17" x14ac:dyDescent="0.2">
      <c r="A80" s="150" t="s">
        <v>26</v>
      </c>
      <c r="B80">
        <v>0.15712000000000001</v>
      </c>
      <c r="G80" s="150" t="s">
        <v>26</v>
      </c>
      <c r="H80">
        <v>0.15711</v>
      </c>
      <c r="P80" s="150" t="s">
        <v>26</v>
      </c>
      <c r="Q80" s="15">
        <f t="shared" si="6"/>
        <v>1.0000000000010001E-5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0.14860000000000001</v>
      </c>
      <c r="P81" s="150" t="s">
        <v>27</v>
      </c>
      <c r="Q81" s="15">
        <f t="shared" si="6"/>
        <v>0</v>
      </c>
    </row>
    <row r="82" spans="1:17" x14ac:dyDescent="0.2">
      <c r="A82" s="150" t="s">
        <v>28</v>
      </c>
      <c r="B82">
        <v>0.20966000000000001</v>
      </c>
      <c r="G82" s="150" t="s">
        <v>28</v>
      </c>
      <c r="H82">
        <v>0.20967</v>
      </c>
      <c r="P82" s="150" t="s">
        <v>28</v>
      </c>
      <c r="Q82" s="15">
        <f t="shared" si="6"/>
        <v>-9.9999999999822453E-6</v>
      </c>
    </row>
  </sheetData>
  <mergeCells count="33">
    <mergeCell ref="M26:M27"/>
    <mergeCell ref="P29:S29"/>
    <mergeCell ref="B30:D30"/>
    <mergeCell ref="H30:J30"/>
    <mergeCell ref="A61:C61"/>
    <mergeCell ref="G61:I61"/>
    <mergeCell ref="P61:S61"/>
    <mergeCell ref="G26:G27"/>
    <mergeCell ref="H26:H27"/>
    <mergeCell ref="I26:I27"/>
    <mergeCell ref="J26:J27"/>
    <mergeCell ref="K26:K27"/>
    <mergeCell ref="L26:L27"/>
    <mergeCell ref="J4:J5"/>
    <mergeCell ref="K4:K5"/>
    <mergeCell ref="L4:L5"/>
    <mergeCell ref="M4:M5"/>
    <mergeCell ref="A26:A27"/>
    <mergeCell ref="B26:B27"/>
    <mergeCell ref="C26:C27"/>
    <mergeCell ref="D26:D27"/>
    <mergeCell ref="E26:E27"/>
    <mergeCell ref="F26:F27"/>
    <mergeCell ref="A2:M2"/>
    <mergeCell ref="A4:A5"/>
    <mergeCell ref="B4:B5"/>
    <mergeCell ref="C4:C5"/>
    <mergeCell ref="D4:D5"/>
    <mergeCell ref="E4:E5"/>
    <mergeCell ref="F4:F5"/>
    <mergeCell ref="G4:G5"/>
    <mergeCell ref="H4:H5"/>
    <mergeCell ref="I4:I5"/>
  </mergeCells>
  <conditionalFormatting sqref="Q32:Q59">
    <cfRule type="cellIs" dxfId="11" priority="11" operator="lessThan">
      <formula>-0.0001</formula>
    </cfRule>
    <cfRule type="cellIs" dxfId="10" priority="12" operator="greaterThan">
      <formula>0.0001</formula>
    </cfRule>
  </conditionalFormatting>
  <conditionalFormatting sqref="R32:R59">
    <cfRule type="cellIs" dxfId="9" priority="9" operator="lessThan">
      <formula>-0.0001</formula>
    </cfRule>
    <cfRule type="cellIs" dxfId="8" priority="10" operator="greaterThan">
      <formula>0.0001</formula>
    </cfRule>
  </conditionalFormatting>
  <conditionalFormatting sqref="S32:S59">
    <cfRule type="cellIs" dxfId="7" priority="7" operator="lessThan">
      <formula>-0.0001</formula>
    </cfRule>
    <cfRule type="cellIs" dxfId="6" priority="8" operator="greaterThan">
      <formula>0.0001</formula>
    </cfRule>
  </conditionalFormatting>
  <conditionalFormatting sqref="Q63:Q81">
    <cfRule type="cellIs" dxfId="5" priority="5" operator="lessThan">
      <formula>-0.0001</formula>
    </cfRule>
    <cfRule type="cellIs" dxfId="4" priority="6" operator="greaterThan">
      <formula>0.0001</formula>
    </cfRule>
  </conditionalFormatting>
  <conditionalFormatting sqref="Q82">
    <cfRule type="cellIs" dxfId="3" priority="3" operator="lessThan">
      <formula>-0.0001</formula>
    </cfRule>
    <cfRule type="cellIs" dxfId="2" priority="4" operator="greaterThan">
      <formula>0.0001</formula>
    </cfRule>
  </conditionalFormatting>
  <conditionalFormatting sqref="T32:T59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B03C-1872-42A2-9F2C-278FFCB22A16}">
  <dimension ref="A1:T28"/>
  <sheetViews>
    <sheetView workbookViewId="0">
      <selection activeCell="Q1" sqref="Q1:Q20"/>
    </sheetView>
  </sheetViews>
  <sheetFormatPr defaultRowHeight="15" x14ac:dyDescent="0.2"/>
  <sheetData>
    <row r="1" spans="1:20" x14ac:dyDescent="0.2">
      <c r="A1">
        <v>1</v>
      </c>
      <c r="B1" s="138">
        <v>44228</v>
      </c>
      <c r="C1">
        <v>20.100000000000001</v>
      </c>
      <c r="D1">
        <v>7.0449999999999999E-2</v>
      </c>
      <c r="E1">
        <v>0.16128999999999999</v>
      </c>
      <c r="F1">
        <v>9.0840000000000004E-2</v>
      </c>
      <c r="G1">
        <v>9.0840000000000004E-2</v>
      </c>
      <c r="H1">
        <v>1.4E-5</v>
      </c>
      <c r="J1" s="138">
        <v>44228</v>
      </c>
      <c r="K1" s="138">
        <v>9.0840000000000004E-2</v>
      </c>
      <c r="L1">
        <v>0.03</v>
      </c>
      <c r="M1">
        <v>1</v>
      </c>
      <c r="P1" s="138">
        <v>44228</v>
      </c>
      <c r="Q1">
        <v>9.0840000000000004E-2</v>
      </c>
      <c r="R1">
        <v>0.03</v>
      </c>
      <c r="S1">
        <v>1</v>
      </c>
      <c r="T1" s="138"/>
    </row>
    <row r="2" spans="1:20" x14ac:dyDescent="0.2">
      <c r="A2">
        <v>1</v>
      </c>
      <c r="B2" s="138">
        <v>44257</v>
      </c>
      <c r="C2">
        <v>20.100000000000001</v>
      </c>
      <c r="D2">
        <v>0.16128999999999999</v>
      </c>
      <c r="E2">
        <v>0.32532</v>
      </c>
      <c r="F2">
        <v>0.16403000000000001</v>
      </c>
      <c r="G2">
        <v>0.16403000000000001</v>
      </c>
      <c r="H2">
        <v>1.4E-5</v>
      </c>
      <c r="J2" s="138">
        <v>44257</v>
      </c>
      <c r="K2" s="138">
        <v>0.16403000000000001</v>
      </c>
      <c r="L2">
        <v>0.03</v>
      </c>
      <c r="M2">
        <v>1</v>
      </c>
      <c r="P2" s="138">
        <v>44257</v>
      </c>
      <c r="Q2">
        <v>0.16403000000000001</v>
      </c>
      <c r="R2">
        <v>0.03</v>
      </c>
      <c r="S2">
        <v>1</v>
      </c>
      <c r="T2" s="138"/>
    </row>
    <row r="3" spans="1:20" x14ac:dyDescent="0.2">
      <c r="A3">
        <v>1</v>
      </c>
      <c r="B3" s="138">
        <v>44289</v>
      </c>
      <c r="C3">
        <v>20.100000000000001</v>
      </c>
      <c r="D3">
        <v>0.32532</v>
      </c>
      <c r="E3">
        <v>0.47134999999999999</v>
      </c>
      <c r="F3">
        <v>0.14602999999999999</v>
      </c>
      <c r="G3">
        <v>0.14602999999999999</v>
      </c>
      <c r="H3">
        <v>1.4E-5</v>
      </c>
      <c r="J3" s="138">
        <v>44289</v>
      </c>
      <c r="K3" s="138">
        <v>0.14602999999999999</v>
      </c>
      <c r="L3">
        <v>0.03</v>
      </c>
      <c r="M3">
        <v>1</v>
      </c>
      <c r="P3" s="138">
        <v>44289</v>
      </c>
      <c r="Q3">
        <v>0.14602999999999999</v>
      </c>
      <c r="R3">
        <v>0.03</v>
      </c>
      <c r="S3">
        <v>1</v>
      </c>
      <c r="T3" s="138"/>
    </row>
    <row r="4" spans="1:20" x14ac:dyDescent="0.2">
      <c r="A4">
        <v>1</v>
      </c>
      <c r="B4" s="138">
        <v>44320</v>
      </c>
      <c r="C4">
        <v>20.100000000000001</v>
      </c>
      <c r="D4">
        <v>0.47134999999999999</v>
      </c>
      <c r="E4">
        <v>0.68452999999999997</v>
      </c>
      <c r="F4">
        <v>0.21318000000000001</v>
      </c>
      <c r="G4">
        <v>0.21318000000000001</v>
      </c>
      <c r="H4">
        <v>1.4E-5</v>
      </c>
      <c r="J4" s="138">
        <v>44320</v>
      </c>
      <c r="K4" s="138">
        <v>0.21318000000000001</v>
      </c>
      <c r="L4">
        <v>0.03</v>
      </c>
      <c r="M4">
        <v>1</v>
      </c>
      <c r="P4" s="138">
        <v>44320</v>
      </c>
      <c r="Q4">
        <v>0.21318000000000001</v>
      </c>
      <c r="R4">
        <v>0.03</v>
      </c>
      <c r="S4">
        <v>1</v>
      </c>
      <c r="T4" s="138"/>
    </row>
    <row r="5" spans="1:20" x14ac:dyDescent="0.2">
      <c r="A5">
        <v>1</v>
      </c>
      <c r="B5" s="138">
        <v>44352</v>
      </c>
      <c r="C5">
        <v>20.100000000000001</v>
      </c>
      <c r="D5">
        <v>0.68452999999999997</v>
      </c>
      <c r="E5">
        <v>0.87058000000000002</v>
      </c>
      <c r="F5">
        <v>0.18604999999999999</v>
      </c>
      <c r="G5">
        <v>0.18604999999999999</v>
      </c>
      <c r="H5">
        <v>1.4E-5</v>
      </c>
      <c r="J5" s="138">
        <v>44352</v>
      </c>
      <c r="K5" s="138">
        <v>0.18604999999999999</v>
      </c>
      <c r="L5">
        <v>0.03</v>
      </c>
      <c r="M5">
        <v>1</v>
      </c>
      <c r="P5" s="138">
        <v>44352</v>
      </c>
      <c r="Q5">
        <v>0.18604999999999999</v>
      </c>
      <c r="R5">
        <v>0.03</v>
      </c>
      <c r="S5">
        <v>1</v>
      </c>
      <c r="T5" s="138"/>
    </row>
    <row r="6" spans="1:20" x14ac:dyDescent="0.2">
      <c r="A6">
        <v>1</v>
      </c>
      <c r="B6" s="138">
        <v>44383</v>
      </c>
      <c r="C6">
        <v>20.100000000000001</v>
      </c>
      <c r="D6">
        <v>0.87058000000000002</v>
      </c>
      <c r="E6">
        <v>1.0703100000000001</v>
      </c>
      <c r="F6">
        <v>0.19972999999999999</v>
      </c>
      <c r="G6">
        <v>0.19972999999999999</v>
      </c>
      <c r="H6">
        <v>2.1999999999999999E-5</v>
      </c>
      <c r="J6" s="138">
        <v>44383</v>
      </c>
      <c r="K6" s="138">
        <v>0.19972999999999999</v>
      </c>
      <c r="L6">
        <v>0.04</v>
      </c>
      <c r="M6">
        <v>1</v>
      </c>
      <c r="P6" s="138">
        <v>44383</v>
      </c>
      <c r="Q6">
        <v>0.19972999999999999</v>
      </c>
      <c r="R6">
        <v>0.04</v>
      </c>
      <c r="S6">
        <v>1</v>
      </c>
      <c r="T6" s="138"/>
    </row>
    <row r="7" spans="1:20" x14ac:dyDescent="0.2">
      <c r="A7">
        <v>1</v>
      </c>
      <c r="B7" s="138">
        <v>44415</v>
      </c>
      <c r="C7">
        <v>20.100000000000001</v>
      </c>
      <c r="D7">
        <v>1.0703100000000001</v>
      </c>
      <c r="E7">
        <v>1.27532</v>
      </c>
      <c r="F7">
        <v>0.20501</v>
      </c>
      <c r="G7">
        <v>0.20501</v>
      </c>
      <c r="H7">
        <v>2.1999999999999999E-5</v>
      </c>
      <c r="J7" s="138">
        <v>44415</v>
      </c>
      <c r="K7" s="138">
        <v>0.20501</v>
      </c>
      <c r="L7">
        <v>0.02</v>
      </c>
      <c r="M7">
        <v>2</v>
      </c>
      <c r="P7" s="138">
        <v>44415</v>
      </c>
      <c r="Q7">
        <v>0.20501</v>
      </c>
      <c r="R7">
        <v>0.02</v>
      </c>
      <c r="S7">
        <v>2</v>
      </c>
      <c r="T7" s="138"/>
    </row>
    <row r="8" spans="1:20" x14ac:dyDescent="0.2">
      <c r="A8">
        <v>1</v>
      </c>
      <c r="B8" s="138">
        <v>44447</v>
      </c>
      <c r="C8">
        <v>20.100000000000001</v>
      </c>
      <c r="D8">
        <v>1.27532</v>
      </c>
      <c r="E8">
        <v>1.5222500000000001</v>
      </c>
      <c r="F8">
        <v>0.24693000000000001</v>
      </c>
      <c r="G8">
        <v>0.24693000000000001</v>
      </c>
      <c r="H8">
        <v>1.4E-5</v>
      </c>
      <c r="J8" s="138">
        <v>44447</v>
      </c>
      <c r="K8" s="138">
        <v>0.24690999999999999</v>
      </c>
      <c r="L8">
        <v>0.02</v>
      </c>
      <c r="M8">
        <v>2</v>
      </c>
      <c r="P8" s="138">
        <v>44447</v>
      </c>
      <c r="Q8">
        <v>0.24690999999999999</v>
      </c>
      <c r="R8">
        <v>0.02</v>
      </c>
      <c r="S8">
        <v>2</v>
      </c>
      <c r="T8" s="138"/>
    </row>
    <row r="9" spans="1:20" x14ac:dyDescent="0.2">
      <c r="A9">
        <v>1</v>
      </c>
      <c r="B9" s="138">
        <v>44478</v>
      </c>
      <c r="C9">
        <v>20.100000000000001</v>
      </c>
      <c r="D9">
        <v>1.5222500000000001</v>
      </c>
      <c r="E9">
        <v>1.7898400000000001</v>
      </c>
      <c r="F9">
        <v>0.26758999999999999</v>
      </c>
      <c r="G9">
        <v>0.26758999999999999</v>
      </c>
      <c r="H9">
        <v>1.4E-5</v>
      </c>
      <c r="J9" s="138">
        <v>44478</v>
      </c>
      <c r="K9" s="138">
        <v>0.26758999999999999</v>
      </c>
      <c r="L9">
        <v>0.02</v>
      </c>
      <c r="M9">
        <v>2</v>
      </c>
      <c r="P9" s="138">
        <v>44478</v>
      </c>
      <c r="Q9">
        <v>0.26758999999999999</v>
      </c>
      <c r="R9">
        <v>0.02</v>
      </c>
      <c r="S9">
        <v>2</v>
      </c>
      <c r="T9" s="138"/>
    </row>
    <row r="10" spans="1:20" x14ac:dyDescent="0.2">
      <c r="A10">
        <v>1</v>
      </c>
      <c r="B10" s="138">
        <v>44510</v>
      </c>
      <c r="C10">
        <v>20.100000000000001</v>
      </c>
      <c r="D10">
        <v>1.7898400000000001</v>
      </c>
      <c r="E10">
        <v>2.1229100000000001</v>
      </c>
      <c r="F10">
        <v>0.33306999999999998</v>
      </c>
      <c r="G10">
        <v>0.33306999999999998</v>
      </c>
      <c r="H10">
        <v>1.4E-5</v>
      </c>
      <c r="J10" s="138">
        <v>44510</v>
      </c>
      <c r="K10" s="138">
        <v>0.33306999999999998</v>
      </c>
      <c r="L10">
        <v>0.02</v>
      </c>
      <c r="M10">
        <v>2</v>
      </c>
      <c r="P10" s="138">
        <v>44510</v>
      </c>
      <c r="Q10">
        <v>0.33306999999999998</v>
      </c>
      <c r="R10">
        <v>0.02</v>
      </c>
      <c r="S10">
        <v>2</v>
      </c>
      <c r="T10" s="138"/>
    </row>
    <row r="11" spans="1:20" x14ac:dyDescent="0.2">
      <c r="A11">
        <v>1</v>
      </c>
      <c r="B11" s="138">
        <v>44541</v>
      </c>
      <c r="C11">
        <v>20.100000000000001</v>
      </c>
      <c r="D11">
        <v>2.1229100000000001</v>
      </c>
      <c r="E11">
        <v>2.3867699999999998</v>
      </c>
      <c r="F11">
        <v>0.26385999999999998</v>
      </c>
      <c r="G11">
        <v>0.26385999999999998</v>
      </c>
      <c r="H11">
        <v>1.4E-5</v>
      </c>
      <c r="J11" s="138">
        <v>44541</v>
      </c>
      <c r="K11" s="138">
        <v>0.26384999999999997</v>
      </c>
      <c r="L11">
        <v>0.02</v>
      </c>
      <c r="M11">
        <v>2</v>
      </c>
      <c r="P11" s="138">
        <v>44541</v>
      </c>
      <c r="Q11">
        <v>0.26384999999999997</v>
      </c>
      <c r="R11">
        <v>0.02</v>
      </c>
      <c r="S11">
        <v>2</v>
      </c>
      <c r="T11" s="138"/>
    </row>
    <row r="12" spans="1:20" x14ac:dyDescent="0.2">
      <c r="A12">
        <v>1</v>
      </c>
      <c r="B12" s="20">
        <v>41609</v>
      </c>
      <c r="C12">
        <v>20.100000000000001</v>
      </c>
      <c r="D12">
        <v>2.3867699999999998</v>
      </c>
      <c r="E12">
        <v>2.5125999999999999</v>
      </c>
      <c r="F12">
        <v>0.12583</v>
      </c>
      <c r="G12">
        <v>0.12583</v>
      </c>
      <c r="H12">
        <v>1.4E-5</v>
      </c>
      <c r="J12" s="20">
        <v>41609</v>
      </c>
      <c r="K12" s="20">
        <v>0.12584000000000001</v>
      </c>
      <c r="L12">
        <v>0.02</v>
      </c>
      <c r="M12">
        <v>2</v>
      </c>
      <c r="P12" s="20">
        <v>41609</v>
      </c>
      <c r="Q12">
        <v>0.12584000000000001</v>
      </c>
      <c r="R12">
        <v>0.02</v>
      </c>
      <c r="S12">
        <v>2</v>
      </c>
      <c r="T12" s="20"/>
    </row>
    <row r="13" spans="1:20" x14ac:dyDescent="0.2">
      <c r="A13">
        <v>1</v>
      </c>
      <c r="B13" t="s">
        <v>21</v>
      </c>
      <c r="C13">
        <v>20.100000000000001</v>
      </c>
      <c r="D13">
        <v>2.5125999999999999</v>
      </c>
      <c r="E13">
        <v>2.6423800000000002</v>
      </c>
      <c r="F13">
        <v>0.12978000000000001</v>
      </c>
      <c r="G13">
        <v>0.12978000000000001</v>
      </c>
      <c r="H13">
        <v>1.4E-5</v>
      </c>
      <c r="J13" t="s">
        <v>21</v>
      </c>
      <c r="K13">
        <v>0.12977</v>
      </c>
      <c r="L13">
        <v>0.02</v>
      </c>
      <c r="M13">
        <v>2</v>
      </c>
      <c r="P13" t="s">
        <v>21</v>
      </c>
      <c r="Q13">
        <v>0.12977</v>
      </c>
      <c r="R13">
        <v>0.02</v>
      </c>
      <c r="S13">
        <v>2</v>
      </c>
    </row>
    <row r="14" spans="1:20" x14ac:dyDescent="0.2">
      <c r="A14">
        <v>1</v>
      </c>
      <c r="B14" t="s">
        <v>22</v>
      </c>
      <c r="C14">
        <v>20.100000000000001</v>
      </c>
      <c r="D14">
        <v>2.6423800000000002</v>
      </c>
      <c r="E14">
        <v>2.8708</v>
      </c>
      <c r="F14">
        <v>0.22842000000000001</v>
      </c>
      <c r="G14">
        <v>0.22842000000000001</v>
      </c>
      <c r="H14">
        <v>1.4E-5</v>
      </c>
      <c r="J14" t="s">
        <v>22</v>
      </c>
      <c r="K14">
        <v>0.22842999999999999</v>
      </c>
      <c r="L14">
        <v>0.02</v>
      </c>
      <c r="M14">
        <v>2</v>
      </c>
      <c r="P14" t="s">
        <v>22</v>
      </c>
      <c r="Q14">
        <v>0.22842999999999999</v>
      </c>
      <c r="R14">
        <v>0.02</v>
      </c>
      <c r="S14">
        <v>2</v>
      </c>
    </row>
    <row r="15" spans="1:20" x14ac:dyDescent="0.2">
      <c r="A15">
        <v>2</v>
      </c>
      <c r="B15" s="138">
        <v>44415</v>
      </c>
      <c r="C15">
        <v>20.9</v>
      </c>
      <c r="D15">
        <v>7.6329999999999995E-2</v>
      </c>
      <c r="E15">
        <v>0.28133999999999998</v>
      </c>
      <c r="F15">
        <v>0.20501</v>
      </c>
      <c r="G15">
        <v>0.20501</v>
      </c>
      <c r="H15">
        <v>1.4E-5</v>
      </c>
      <c r="J15" t="s">
        <v>23</v>
      </c>
      <c r="K15" s="138">
        <v>0.18242</v>
      </c>
      <c r="L15">
        <v>0.03</v>
      </c>
      <c r="M15">
        <v>1</v>
      </c>
      <c r="P15" t="s">
        <v>23</v>
      </c>
      <c r="Q15">
        <v>0.18242</v>
      </c>
      <c r="R15">
        <v>0.03</v>
      </c>
      <c r="S15">
        <v>1</v>
      </c>
      <c r="T15" s="138"/>
    </row>
    <row r="16" spans="1:20" x14ac:dyDescent="0.2">
      <c r="A16">
        <v>2</v>
      </c>
      <c r="B16" s="138">
        <v>44447</v>
      </c>
      <c r="C16">
        <v>20.9</v>
      </c>
      <c r="D16">
        <v>0.28133999999999998</v>
      </c>
      <c r="E16">
        <v>0.52824000000000004</v>
      </c>
      <c r="F16">
        <v>0.24690000000000001</v>
      </c>
      <c r="G16">
        <v>0.24690000000000001</v>
      </c>
      <c r="H16">
        <v>1.4E-5</v>
      </c>
      <c r="J16" t="s">
        <v>24</v>
      </c>
      <c r="K16" s="138">
        <v>0.15182000000000001</v>
      </c>
      <c r="L16">
        <v>0.03</v>
      </c>
      <c r="M16">
        <v>1</v>
      </c>
      <c r="P16" t="s">
        <v>24</v>
      </c>
      <c r="Q16">
        <v>0.15182000000000001</v>
      </c>
      <c r="R16">
        <v>0.03</v>
      </c>
      <c r="S16">
        <v>1</v>
      </c>
      <c r="T16" s="138"/>
    </row>
    <row r="17" spans="1:20" x14ac:dyDescent="0.2">
      <c r="A17">
        <v>2</v>
      </c>
      <c r="B17" s="138">
        <v>44478</v>
      </c>
      <c r="C17">
        <v>20.9</v>
      </c>
      <c r="D17">
        <v>0.52824000000000004</v>
      </c>
      <c r="E17">
        <v>0.79583999999999999</v>
      </c>
      <c r="F17">
        <v>0.2676</v>
      </c>
      <c r="G17">
        <v>0.2676</v>
      </c>
      <c r="H17">
        <v>2.1999999999999999E-5</v>
      </c>
      <c r="J17" t="s">
        <v>25</v>
      </c>
      <c r="K17" s="138">
        <v>0.15328</v>
      </c>
      <c r="L17">
        <v>0.04</v>
      </c>
      <c r="M17">
        <v>1</v>
      </c>
      <c r="P17" t="s">
        <v>25</v>
      </c>
      <c r="Q17">
        <v>0.15328</v>
      </c>
      <c r="R17">
        <v>0.04</v>
      </c>
      <c r="S17">
        <v>1</v>
      </c>
      <c r="T17" s="138"/>
    </row>
    <row r="18" spans="1:20" x14ac:dyDescent="0.2">
      <c r="A18">
        <v>2</v>
      </c>
      <c r="B18" s="138">
        <v>44510</v>
      </c>
      <c r="C18">
        <v>20.9</v>
      </c>
      <c r="D18">
        <v>0.79583999999999999</v>
      </c>
      <c r="E18">
        <v>1.1289100000000001</v>
      </c>
      <c r="F18">
        <v>0.33306999999999998</v>
      </c>
      <c r="G18">
        <v>0.33306999999999998</v>
      </c>
      <c r="H18">
        <v>2.8E-5</v>
      </c>
      <c r="J18" t="s">
        <v>26</v>
      </c>
      <c r="K18" s="138">
        <v>0.15711</v>
      </c>
      <c r="L18">
        <v>0.05</v>
      </c>
      <c r="M18">
        <v>1</v>
      </c>
      <c r="P18" t="s">
        <v>26</v>
      </c>
      <c r="Q18">
        <v>0.15711</v>
      </c>
      <c r="R18">
        <v>0.05</v>
      </c>
      <c r="S18">
        <v>1</v>
      </c>
      <c r="T18" s="138"/>
    </row>
    <row r="19" spans="1:20" x14ac:dyDescent="0.2">
      <c r="A19">
        <v>2</v>
      </c>
      <c r="B19" s="138">
        <v>44541</v>
      </c>
      <c r="C19">
        <v>20.9</v>
      </c>
      <c r="D19">
        <v>1.1289100000000001</v>
      </c>
      <c r="E19">
        <v>1.39272</v>
      </c>
      <c r="F19">
        <v>0.26380999999999999</v>
      </c>
      <c r="G19">
        <v>0.26380999999999999</v>
      </c>
      <c r="H19">
        <v>2.1999999999999999E-5</v>
      </c>
      <c r="J19" t="s">
        <v>27</v>
      </c>
      <c r="K19" s="138">
        <v>0.14860000000000001</v>
      </c>
      <c r="L19">
        <v>0.04</v>
      </c>
      <c r="M19">
        <v>1</v>
      </c>
      <c r="P19" t="s">
        <v>27</v>
      </c>
      <c r="Q19">
        <v>0.14860000000000001</v>
      </c>
      <c r="R19">
        <v>0.04</v>
      </c>
      <c r="S19">
        <v>1</v>
      </c>
      <c r="T19" s="138"/>
    </row>
    <row r="20" spans="1:20" x14ac:dyDescent="0.2">
      <c r="A20">
        <v>2</v>
      </c>
      <c r="B20" s="20">
        <v>41609</v>
      </c>
      <c r="C20">
        <v>20.9</v>
      </c>
      <c r="D20">
        <v>1.39272</v>
      </c>
      <c r="E20">
        <v>1.5185999999999999</v>
      </c>
      <c r="F20">
        <v>0.12587999999999999</v>
      </c>
      <c r="G20">
        <v>0.12587999999999999</v>
      </c>
      <c r="H20">
        <v>2.1999999999999999E-5</v>
      </c>
      <c r="J20" t="s">
        <v>28</v>
      </c>
      <c r="K20" s="20">
        <v>0.20967</v>
      </c>
      <c r="L20">
        <v>0.04</v>
      </c>
      <c r="M20">
        <v>1</v>
      </c>
      <c r="P20" t="s">
        <v>28</v>
      </c>
      <c r="Q20">
        <v>0.20967</v>
      </c>
      <c r="R20">
        <v>0.04</v>
      </c>
      <c r="S20">
        <v>1</v>
      </c>
      <c r="T20" s="20"/>
    </row>
    <row r="21" spans="1:20" x14ac:dyDescent="0.2">
      <c r="A21">
        <v>2</v>
      </c>
      <c r="B21" t="s">
        <v>21</v>
      </c>
      <c r="C21">
        <v>20.9</v>
      </c>
      <c r="D21">
        <v>1.5185999999999999</v>
      </c>
      <c r="E21">
        <v>1.6483399999999999</v>
      </c>
      <c r="F21">
        <v>0.12973999999999999</v>
      </c>
      <c r="G21">
        <v>0.12973999999999999</v>
      </c>
      <c r="H21">
        <v>2.1999999999999999E-5</v>
      </c>
    </row>
    <row r="22" spans="1:20" x14ac:dyDescent="0.2">
      <c r="A22">
        <v>2</v>
      </c>
      <c r="B22" t="s">
        <v>22</v>
      </c>
      <c r="C22">
        <v>20.9</v>
      </c>
      <c r="D22">
        <v>1.6483399999999999</v>
      </c>
      <c r="E22">
        <v>1.8767799999999999</v>
      </c>
      <c r="F22">
        <v>0.22844</v>
      </c>
      <c r="G22">
        <v>0.22844</v>
      </c>
      <c r="H22">
        <v>1.4E-5</v>
      </c>
    </row>
    <row r="23" spans="1:20" x14ac:dyDescent="0.2">
      <c r="A23">
        <v>2</v>
      </c>
      <c r="B23" t="s">
        <v>23</v>
      </c>
      <c r="C23">
        <v>20.9</v>
      </c>
      <c r="D23">
        <v>1.8767799999999999</v>
      </c>
      <c r="E23">
        <v>2.0592000000000001</v>
      </c>
      <c r="F23">
        <v>0.18242</v>
      </c>
      <c r="G23">
        <v>0.18242</v>
      </c>
      <c r="H23">
        <v>1.4E-5</v>
      </c>
    </row>
    <row r="24" spans="1:20" x14ac:dyDescent="0.2">
      <c r="A24">
        <v>2</v>
      </c>
      <c r="B24" t="s">
        <v>24</v>
      </c>
      <c r="C24">
        <v>20.9</v>
      </c>
      <c r="D24">
        <v>2.0592000000000001</v>
      </c>
      <c r="E24">
        <v>2.21102</v>
      </c>
      <c r="F24">
        <v>0.15182000000000001</v>
      </c>
      <c r="G24">
        <v>0.15182000000000001</v>
      </c>
      <c r="H24">
        <v>1.4E-5</v>
      </c>
    </row>
    <row r="25" spans="1:20" x14ac:dyDescent="0.2">
      <c r="A25">
        <v>2</v>
      </c>
      <c r="B25" t="s">
        <v>25</v>
      </c>
      <c r="C25">
        <v>20.9</v>
      </c>
      <c r="D25">
        <v>2.21102</v>
      </c>
      <c r="E25">
        <v>2.3643000000000001</v>
      </c>
      <c r="F25">
        <v>0.15328</v>
      </c>
      <c r="G25">
        <v>0.15328</v>
      </c>
      <c r="H25">
        <v>2.1999999999999999E-5</v>
      </c>
    </row>
    <row r="26" spans="1:20" x14ac:dyDescent="0.2">
      <c r="A26">
        <v>2</v>
      </c>
      <c r="B26" t="s">
        <v>26</v>
      </c>
      <c r="C26">
        <v>20.9</v>
      </c>
      <c r="D26">
        <v>2.3643000000000001</v>
      </c>
      <c r="E26">
        <v>2.5214099999999999</v>
      </c>
      <c r="F26">
        <v>0.15711</v>
      </c>
      <c r="G26">
        <v>0.15711</v>
      </c>
      <c r="H26">
        <v>2.8E-5</v>
      </c>
    </row>
    <row r="27" spans="1:20" x14ac:dyDescent="0.2">
      <c r="A27">
        <v>2</v>
      </c>
      <c r="B27" t="s">
        <v>27</v>
      </c>
      <c r="C27">
        <v>20.9</v>
      </c>
      <c r="D27">
        <v>2.5214099999999999</v>
      </c>
      <c r="E27">
        <v>2.67001</v>
      </c>
      <c r="F27">
        <v>0.14860000000000001</v>
      </c>
      <c r="G27">
        <v>0.14860000000000001</v>
      </c>
      <c r="H27">
        <v>2.1999999999999999E-5</v>
      </c>
    </row>
    <row r="28" spans="1:20" x14ac:dyDescent="0.2">
      <c r="A28">
        <v>2</v>
      </c>
      <c r="B28" t="s">
        <v>28</v>
      </c>
      <c r="C28">
        <v>20.9</v>
      </c>
      <c r="D28">
        <v>2.67001</v>
      </c>
      <c r="E28">
        <v>2.87968</v>
      </c>
      <c r="F28">
        <v>0.20967</v>
      </c>
      <c r="G28">
        <v>0.20967</v>
      </c>
      <c r="H28">
        <v>2.1999999999999999E-5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604CBE7B14B4BBD6F331956CF5244" ma:contentTypeVersion="17" ma:contentTypeDescription="Create a new document." ma:contentTypeScope="" ma:versionID="665df7c102a6453017284e808f064cd5">
  <xsd:schema xmlns:xsd="http://www.w3.org/2001/XMLSchema" xmlns:xs="http://www.w3.org/2001/XMLSchema" xmlns:p="http://schemas.microsoft.com/office/2006/metadata/properties" xmlns:ns2="b45fe360-0b8b-4d96-b293-07daf5a519e5" xmlns:ns3="e918e316-8ebf-402b-8dc9-510f44632d57" targetNamespace="http://schemas.microsoft.com/office/2006/metadata/properties" ma:root="true" ma:fieldsID="b6948d30eeb913f8a2aed19dec3d39fe" ns2:_="" ns3:_="">
    <xsd:import namespace="b45fe360-0b8b-4d96-b293-07daf5a519e5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Outcom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fe360-0b8b-4d96-b293-07daf5a519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d76bc9-7724-42ee-ad07-4f6d3a8e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Outcome" ma:index="23" nillable="true" ma:displayName="Outcome" ma:default="Enter Choice #1" ma:internalName="Outcome">
      <xsd:simpleType>
        <xsd:restriction base="dms:Unknown">
          <xsd:enumeration value="Enter Choice #1"/>
          <xsd:enumeration value="Enter Choice #2"/>
          <xsd:enumeration value="Enter Choice #3"/>
        </xsd:restriction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1453b7-733b-4a9e-b767-feff997631aa}" ma:internalName="TaxCatchAll" ma:showField="CatchAllData" ma:web="e918e316-8ebf-402b-8dc9-510f44632d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45fe360-0b8b-4d96-b293-07daf5a519e5">
      <Terms xmlns="http://schemas.microsoft.com/office/infopath/2007/PartnerControls"/>
    </lcf76f155ced4ddcb4097134ff3c332f>
    <Outcome xmlns="b45fe360-0b8b-4d96-b293-07daf5a519e5">Enter Choice #1</Outcome>
    <TaxCatchAll xmlns="e918e316-8ebf-402b-8dc9-510f44632d57" xsi:nil="true"/>
  </documentManagement>
</p:properties>
</file>

<file path=customXml/itemProps1.xml><?xml version="1.0" encoding="utf-8"?>
<ds:datastoreItem xmlns:ds="http://schemas.openxmlformats.org/officeDocument/2006/customXml" ds:itemID="{A26248C3-0DB3-4402-921C-8336ACFFB686}"/>
</file>

<file path=customXml/itemProps2.xml><?xml version="1.0" encoding="utf-8"?>
<ds:datastoreItem xmlns:ds="http://schemas.openxmlformats.org/officeDocument/2006/customXml" ds:itemID="{48F0709C-054E-409E-A6E9-924685567964}"/>
</file>

<file path=customXml/itemProps3.xml><?xml version="1.0" encoding="utf-8"?>
<ds:datastoreItem xmlns:ds="http://schemas.openxmlformats.org/officeDocument/2006/customXml" ds:itemID="{B1721EB9-FDDE-4C54-BA6F-012919370EA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27690</vt:lpstr>
      <vt:lpstr>26296</vt:lpstr>
      <vt:lpstr>79918</vt:lpstr>
      <vt:lpstr>26909</vt:lpstr>
      <vt:lpstr>Merge8</vt:lpstr>
      <vt:lpstr>Recent data</vt:lpstr>
      <vt:lpstr>Sheet1</vt:lpstr>
      <vt:lpstr>Sheet2</vt:lpstr>
      <vt:lpstr>Calcs</vt:lpstr>
      <vt:lpstr>Sheet3</vt:lpstr>
      <vt:lpstr>Sheet4</vt:lpstr>
      <vt:lpstr>Analysis</vt:lpstr>
      <vt:lpstr>Analysis Temp</vt:lpstr>
      <vt:lpstr>HeightDiff Comparisons&amp;merge</vt:lpstr>
      <vt:lpstr>HeightDiff Comparisons</vt:lpstr>
      <vt:lpstr>26296_79918 (1)</vt:lpstr>
      <vt:lpstr>26296_79918 (2)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 Schuiling</dc:creator>
  <cp:lastModifiedBy>livxu00</cp:lastModifiedBy>
  <cp:lastPrinted>2018-02-28T00:14:39Z</cp:lastPrinted>
  <dcterms:created xsi:type="dcterms:W3CDTF">2017-10-25T04:00:38Z</dcterms:created>
  <dcterms:modified xsi:type="dcterms:W3CDTF">2021-10-08T02:37:52Z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0x010100DDA604CBE7B14B4BBD6F331956CF5244</vt:lpwstr>
  </property>
</Properties>
</file>