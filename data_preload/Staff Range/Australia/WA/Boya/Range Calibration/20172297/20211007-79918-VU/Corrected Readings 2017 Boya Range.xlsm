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metadata.xml" ContentType="application/vnd.openxmlformats-officedocument.spreadsheetml.sheetMetadata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VANESSA\CALIBRATIONS\BOYA_RANGE\2021_BOYA_RANGE_CALIBRATION\20211007-VU\"/>
    </mc:Choice>
  </mc:AlternateContent>
  <xr:revisionPtr revIDLastSave="0" documentId="13_ncr:1_{7424B433-73FF-415A-B88E-66AAB9645E4F}" xr6:coauthVersionLast="47" xr6:coauthVersionMax="47" xr10:uidLastSave="{00000000-0000-0000-0000-000000000000}"/>
  <bookViews>
    <workbookView xWindow="-120" yWindow="-120" windowWidth="29040" windowHeight="15840" tabRatio="907" firstSheet="1" activeTab="16" xr2:uid="{00000000-000D-0000-FFFF-FFFF00000000}"/>
  </bookViews>
  <sheets>
    <sheet name="27690" sheetId="2" r:id="rId1"/>
    <sheet name="26296" sheetId="1" r:id="rId2"/>
    <sheet name="79918" sheetId="19" r:id="rId3"/>
    <sheet name="26909" sheetId="3" r:id="rId4"/>
    <sheet name="Merge8" sheetId="4" r:id="rId5"/>
    <sheet name="Recent data" sheetId="5" r:id="rId6"/>
    <sheet name="Sheet1" sheetId="6" r:id="rId7"/>
    <sheet name="Sheet2" sheetId="7" r:id="rId8"/>
    <sheet name="Calcs" sheetId="8" r:id="rId9"/>
    <sheet name="Sheet3" sheetId="9" r:id="rId10"/>
    <sheet name="Sheet4" sheetId="10" r:id="rId11"/>
    <sheet name="Analysis" sheetId="12" r:id="rId12"/>
    <sheet name="Analysis Temp" sheetId="13" r:id="rId13"/>
    <sheet name="HeightDiff Comparisons&amp;merge" sheetId="16" r:id="rId14"/>
    <sheet name="HeightDiff Comparisons" sheetId="17" r:id="rId15"/>
    <sheet name="26296_79918 (1)" sheetId="18" r:id="rId16"/>
    <sheet name="26296_79918 (2)" sheetId="22" r:id="rId17"/>
    <sheet name="Sheet5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8" i="22" l="1" a="1"/>
  <c r="K28" i="22" s="1"/>
  <c r="Q82" i="22"/>
  <c r="Q81" i="22"/>
  <c r="Q80" i="22"/>
  <c r="Q79" i="22"/>
  <c r="Q78" i="22"/>
  <c r="Q77" i="22"/>
  <c r="Q76" i="22"/>
  <c r="Q75" i="22"/>
  <c r="Q74" i="22"/>
  <c r="Q73" i="22"/>
  <c r="Q72" i="22"/>
  <c r="Q71" i="22"/>
  <c r="Q70" i="22"/>
  <c r="Q69" i="22"/>
  <c r="Q68" i="22"/>
  <c r="Q67" i="22"/>
  <c r="Q66" i="22"/>
  <c r="Q65" i="22"/>
  <c r="Q64" i="22"/>
  <c r="Q63" i="22"/>
  <c r="T59" i="22"/>
  <c r="S59" i="22"/>
  <c r="R59" i="22"/>
  <c r="Q59" i="22"/>
  <c r="T58" i="22"/>
  <c r="S58" i="22"/>
  <c r="R58" i="22"/>
  <c r="Q58" i="22"/>
  <c r="T57" i="22"/>
  <c r="S57" i="22"/>
  <c r="R57" i="22"/>
  <c r="Q57" i="22"/>
  <c r="T56" i="22"/>
  <c r="S56" i="22"/>
  <c r="R56" i="22"/>
  <c r="Q56" i="22"/>
  <c r="T55" i="22"/>
  <c r="S55" i="22"/>
  <c r="R55" i="22"/>
  <c r="Q55" i="22"/>
  <c r="T54" i="22"/>
  <c r="S54" i="22"/>
  <c r="R54" i="22"/>
  <c r="Q54" i="22"/>
  <c r="T53" i="22"/>
  <c r="S53" i="22"/>
  <c r="R53" i="22"/>
  <c r="Q53" i="22"/>
  <c r="T52" i="22"/>
  <c r="S52" i="22"/>
  <c r="R52" i="22"/>
  <c r="Q52" i="22"/>
  <c r="T51" i="22"/>
  <c r="S51" i="22"/>
  <c r="R51" i="22"/>
  <c r="Q51" i="22"/>
  <c r="T50" i="22"/>
  <c r="S50" i="22"/>
  <c r="R50" i="22"/>
  <c r="Q50" i="22"/>
  <c r="T49" i="22"/>
  <c r="S49" i="22"/>
  <c r="R49" i="22"/>
  <c r="Q49" i="22"/>
  <c r="T48" i="22"/>
  <c r="S48" i="22"/>
  <c r="R48" i="22"/>
  <c r="Q48" i="22"/>
  <c r="T47" i="22"/>
  <c r="S47" i="22"/>
  <c r="R47" i="22"/>
  <c r="Q47" i="22"/>
  <c r="T46" i="22"/>
  <c r="S46" i="22"/>
  <c r="R46" i="22"/>
  <c r="Q46" i="22"/>
  <c r="T45" i="22"/>
  <c r="S45" i="22"/>
  <c r="R45" i="22"/>
  <c r="Q45" i="22"/>
  <c r="T44" i="22"/>
  <c r="S44" i="22"/>
  <c r="R44" i="22"/>
  <c r="Q44" i="22"/>
  <c r="T43" i="22"/>
  <c r="S43" i="22"/>
  <c r="R43" i="22"/>
  <c r="Q43" i="22"/>
  <c r="T42" i="22"/>
  <c r="S42" i="22"/>
  <c r="R42" i="22"/>
  <c r="Q42" i="22"/>
  <c r="T41" i="22"/>
  <c r="S41" i="22"/>
  <c r="R41" i="22"/>
  <c r="Q41" i="22"/>
  <c r="T40" i="22"/>
  <c r="S40" i="22"/>
  <c r="R40" i="22"/>
  <c r="Q40" i="22"/>
  <c r="T39" i="22"/>
  <c r="S39" i="22"/>
  <c r="R39" i="22"/>
  <c r="Q39" i="22"/>
  <c r="T38" i="22"/>
  <c r="S38" i="22"/>
  <c r="R38" i="22"/>
  <c r="Q38" i="22"/>
  <c r="T37" i="22"/>
  <c r="S37" i="22"/>
  <c r="R37" i="22"/>
  <c r="Q37" i="22"/>
  <c r="T36" i="22"/>
  <c r="S36" i="22"/>
  <c r="R36" i="22"/>
  <c r="Q36" i="22"/>
  <c r="T35" i="22"/>
  <c r="S35" i="22"/>
  <c r="R35" i="22"/>
  <c r="Q35" i="22"/>
  <c r="T34" i="22"/>
  <c r="S34" i="22"/>
  <c r="R34" i="22"/>
  <c r="Q34" i="22"/>
  <c r="T33" i="22"/>
  <c r="S33" i="22"/>
  <c r="R33" i="22"/>
  <c r="Q33" i="22"/>
  <c r="T32" i="22"/>
  <c r="S32" i="22"/>
  <c r="R32" i="22"/>
  <c r="Q32" i="22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46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32" i="18"/>
  <c r="S55" i="18"/>
  <c r="S56" i="18"/>
  <c r="S57" i="18"/>
  <c r="S58" i="18"/>
  <c r="S59" i="18"/>
  <c r="S54" i="18"/>
  <c r="S51" i="18"/>
  <c r="S47" i="18"/>
  <c r="S48" i="18"/>
  <c r="S49" i="18"/>
  <c r="S50" i="18"/>
  <c r="S52" i="18"/>
  <c r="S53" i="18"/>
  <c r="S46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32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63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32" i="18"/>
  <c r="D22" i="19"/>
  <c r="D23" i="19" s="1"/>
  <c r="E23" i="19" s="1"/>
  <c r="D5" i="19"/>
  <c r="HS22" i="1"/>
  <c r="HS26" i="1" s="1"/>
  <c r="HT26" i="1" s="1"/>
  <c r="HS5" i="1"/>
  <c r="HS18" i="1" s="1"/>
  <c r="HT18" i="1" s="1"/>
  <c r="HS24" i="1"/>
  <c r="HT24" i="1" s="1"/>
  <c r="HS25" i="1"/>
  <c r="HT25" i="1" s="1"/>
  <c r="HS30" i="1"/>
  <c r="HT30" i="1" s="1"/>
  <c r="HS31" i="1"/>
  <c r="HT31" i="1" s="1"/>
  <c r="HS32" i="1"/>
  <c r="HT32" i="1" s="1"/>
  <c r="HS23" i="1"/>
  <c r="HT23" i="1" s="1"/>
  <c r="HS7" i="1"/>
  <c r="HT7" i="1" s="1"/>
  <c r="HS8" i="1"/>
  <c r="HT8" i="1" s="1"/>
  <c r="HS9" i="1"/>
  <c r="HT9" i="1" s="1"/>
  <c r="HS10" i="1"/>
  <c r="HT10" i="1" s="1"/>
  <c r="HS11" i="1"/>
  <c r="HT11" i="1" s="1"/>
  <c r="HS12" i="1"/>
  <c r="HT12" i="1" s="1"/>
  <c r="HS13" i="1"/>
  <c r="HT13" i="1" s="1"/>
  <c r="HS14" i="1"/>
  <c r="HT14" i="1" s="1"/>
  <c r="HS15" i="1"/>
  <c r="HS16" i="1"/>
  <c r="HS17" i="1"/>
  <c r="HT17" i="1" s="1"/>
  <c r="HS6" i="1"/>
  <c r="HT6" i="1" s="1"/>
  <c r="HT16" i="1"/>
  <c r="HT15" i="1"/>
  <c r="D14" i="19"/>
  <c r="E14" i="19" s="1"/>
  <c r="B23" i="16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S37" i="1" l="1"/>
  <c r="HT37" i="1" s="1"/>
  <c r="HS35" i="1"/>
  <c r="HT35" i="1" s="1"/>
  <c r="HS34" i="1"/>
  <c r="HT34" i="1" s="1"/>
  <c r="HS36" i="1"/>
  <c r="HT36" i="1" s="1"/>
  <c r="HS33" i="1"/>
  <c r="HT33" i="1" s="1"/>
  <c r="HS29" i="1"/>
  <c r="HT29" i="1" s="1"/>
  <c r="HS28" i="1"/>
  <c r="HT28" i="1" s="1"/>
  <c r="HS27" i="1"/>
  <c r="HT27" i="1" s="1"/>
  <c r="HS20" i="1"/>
  <c r="HT20" i="1" s="1"/>
  <c r="HS19" i="1"/>
  <c r="HT19" i="1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6" i="19"/>
  <c r="E6" i="19" s="1"/>
  <c r="D24" i="19"/>
  <c r="E24" i="19" s="1"/>
  <c r="D37" i="19"/>
  <c r="E37" i="19" s="1"/>
  <c r="D36" i="19"/>
  <c r="E36" i="19" s="1"/>
  <c r="D25" i="19"/>
  <c r="E25" i="19" s="1"/>
  <c r="D26" i="19"/>
  <c r="E26" i="19" s="1"/>
  <c r="D27" i="19"/>
  <c r="E27" i="19" s="1"/>
  <c r="D13" i="19"/>
  <c r="E13" i="19" s="1"/>
  <c r="D16" i="19"/>
  <c r="E16" i="19" s="1"/>
  <c r="D8" i="19"/>
  <c r="E8" i="19" s="1"/>
  <c r="D11" i="19"/>
  <c r="E11" i="19" s="1"/>
  <c r="D17" i="19"/>
  <c r="E17" i="19" s="1"/>
  <c r="D18" i="19"/>
  <c r="E18" i="19" s="1"/>
  <c r="D19" i="19"/>
  <c r="E19" i="19" s="1"/>
  <c r="D12" i="19"/>
  <c r="E12" i="19" s="1"/>
  <c r="D20" i="19"/>
  <c r="E20" i="19" s="1"/>
  <c r="D9" i="19"/>
  <c r="E9" i="19" s="1"/>
  <c r="D7" i="19"/>
  <c r="E7" i="19" s="1"/>
  <c r="D10" i="19"/>
  <c r="E10" i="19" s="1"/>
  <c r="D15" i="19"/>
  <c r="E15" i="19" s="1"/>
  <c r="D28" i="19"/>
  <c r="E28" i="19" s="1"/>
  <c r="D35" i="19"/>
  <c r="E35" i="19" s="1"/>
  <c r="HL22" i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<sst xmlns="http://schemas.openxmlformats.org/spreadsheetml/2006/main" count="1776" uniqueCount="447">
  <si>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</si>
  <si>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</si>
  <si>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</si>
  <si>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</si>
  <si>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</si>
  <si>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</si>
  <si>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</si>
  <si>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</si>
  <si>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</si>
  <si>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</si>
  <si>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</si>
  <si>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</si>
  <si>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</si>
  <si>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</si>
  <si>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</si>
  <si>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</si>
  <si>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</si>
  <si>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</si>
  <si>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</si>
  <si>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</si>
  <si>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</si>
  <si>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</si>
  <si>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</si>
  <si>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</si>
  <si>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</si>
  <si>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</si>
  <si>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</si>
  <si>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</si>
  <si>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</si>
  <si>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</si>
  <si>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</si>
  <si>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</si>
  <si>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</si>
  <si>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</si>
  <si>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</si>
  <si>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</si>
  <si>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</si>
  <si>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</si>
  <si>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</si>
  <si>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</si>
  <si>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</si>
  <si>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</si>
  <si>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</si>
  <si>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</si>
  <si>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</si>
  <si>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</si>
  <si>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</si>
  <si>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</si>
  <si>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</si>
  <si>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</si>
  <si>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</si>
  <si>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</si>
  <si>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</si>
  <si>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</si>
  <si>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</si>
  <si>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</si>
  <si>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</si>
  <si>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</si>
  <si>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</si>
  <si>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</si>
  <si>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</si>
  <si>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</si>
  <si>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</si>
  <si>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</si>
  <si>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</si>
  <si>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</si>
  <si>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</si>
  <si>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</si>
  <si>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</si>
  <si>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</si>
  <si>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</si>
  <si>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</si>
  <si>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</si>
  <si>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</si>
  <si>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</si>
  <si>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</si>
  <si>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</si>
  <si>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</si>
  <si>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</si>
  <si>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</si>
  <si>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</si>
  <si>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</si>
  <si>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</si>
  <si>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</si>
  <si>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</si>
  <si>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</si>
  <si>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</si>
  <si>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</si>
  <si>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</si>
  <si>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</si>
  <si>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</si>
  <si>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</si>
  <si>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</si>
  <si>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</si>
  <si>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</si>
  <si>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</si>
  <si>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</si>
  <si>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</si>
  <si>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</si>
  <si>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</si>
  <si>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</si>
  <si>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</si>
  <si>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</si>
  <si>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</si>
  <si>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</si>
  <si>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</si>
  <si>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</si>
  <si>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</si>
  <si>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</si>
  <si>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</si>
  <si>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</si>
  <si>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</si>
  <si>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</si>
  <si>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</si>
  <si>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</si>
  <si>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</si>
  <si>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</si>
  <si>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</si>
  <si>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</si>
  <si>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</si>
  <si>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</si>
  <si>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</si>
  <si>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</si>
  <si>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</si>
  <si>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</si>
  <si>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</si>
  <si>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</si>
  <si>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</si>
  <si>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</si>
  <si>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</si>
  <si>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</si>
  <si>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</si>
  <si>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</si>
  <si>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</si>
  <si>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</si>
  <si>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</si>
  <si>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</si>
  <si>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</si>
  <si>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</si>
  <si>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</si>
  <si>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</si>
  <si>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</si>
  <si>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</si>
  <si>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</si>
  <si>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</si>
  <si>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</si>
  <si>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</si>
  <si>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</si>
  <si>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</si>
  <si>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</si>
  <si>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</si>
  <si>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</si>
  <si>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</si>
  <si>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</si>
  <si>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</si>
  <si>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</si>
  <si>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</si>
  <si>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</si>
  <si>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</si>
  <si>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</si>
  <si>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</si>
  <si>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</si>
  <si>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</si>
  <si>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</si>
  <si>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</si>
  <si>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</si>
  <si>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</si>
  <si>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</si>
  <si>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</si>
  <si>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</si>
  <si>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</si>
  <si>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</si>
  <si>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</si>
  <si>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</si>
  <si>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</si>
  <si>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</si>
  <si>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</si>
  <si>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</si>
  <si>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</si>
  <si>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</si>
  <si>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</si>
  <si>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</si>
  <si>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</si>
  <si>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</si>
  <si>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</si>
  <si>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</si>
  <si>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</si>
  <si>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</si>
  <si>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</si>
  <si>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</si>
  <si>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</si>
  <si>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</si>
  <si>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</si>
  <si>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</si>
  <si>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</si>
  <si>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</si>
  <si>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</si>
  <si>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</si>
  <si>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</si>
  <si>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</si>
  <si>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</si>
  <si>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</si>
  <si>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</si>
  <si>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</si>
  <si>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</si>
  <si>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</si>
  <si>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</si>
  <si>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</si>
  <si>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</si>
  <si>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</si>
  <si>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</si>
  <si>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</si>
  <si>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</si>
  <si>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</si>
  <si>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</si>
  <si>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</si>
  <si>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</si>
  <si>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</si>
  <si>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</si>
  <si>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</si>
  <si>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</si>
  <si>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</si>
  <si>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</si>
  <si>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</si>
  <si>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</si>
  <si>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</si>
  <si>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</si>
  <si>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</si>
  <si>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</si>
  <si>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</si>
  <si>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</si>
  <si>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</si>
  <si>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</si>
  <si>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</si>
  <si>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</si>
  <si>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</si>
  <si>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</si>
  <si>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</si>
  <si>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</si>
  <si>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</si>
  <si>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</si>
  <si>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</si>
  <si>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</si>
  <si>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</si>
  <si>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</si>
  <si>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</si>
  <si>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</si>
  <si>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</si>
  <si>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</si>
  <si>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</si>
  <si>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</si>
  <si>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</si>
  <si>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</si>
  <si>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</si>
  <si>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</si>
  <si>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</si>
  <si>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</si>
  <si>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</si>
  <si>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</si>
  <si>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</si>
  <si>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</si>
  <si>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</si>
  <si>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</si>
  <si>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</si>
  <si>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</si>
  <si>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</si>
  <si>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</si>
  <si>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</si>
  <si>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</si>
  <si>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</si>
  <si>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</si>
  <si>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</si>
  <si>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</si>
  <si>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</si>
  <si>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</si>
  <si>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</si>
  <si>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</si>
  <si>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</si>
  <si>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</si>
  <si>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</si>
  <si>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</si>
  <si>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</si>
  <si>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</si>
  <si>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</si>
  <si>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</si>
  <si>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</si>
  <si>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</si>
  <si>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</si>
  <si>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</si>
  <si>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</si>
  <si>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</si>
  <si>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</si>
  <si>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</si>
  <si>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</si>
  <si>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</si>
  <si>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</si>
  <si>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</si>
  <si>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</si>
  <si>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</si>
  <si>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</si>
  <si>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</si>
  <si>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</si>
  <si>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</si>
  <si>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</si>
  <si>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</si>
  <si>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</si>
  <si>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</si>
  <si>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</si>
  <si>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</si>
  <si>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</si>
  <si>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</si>
  <si>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</si>
  <si>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</si>
  <si>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</si>
  <si>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</si>
  <si>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</si>
  <si>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</si>
  <si>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</si>
  <si>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</si>
  <si>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</si>
  <si>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</si>
  <si>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</si>
  <si>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</si>
  <si>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</si>
  <si>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</si>
  <si>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</si>
  <si>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</si>
  <si>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</si>
  <si>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</si>
  <si>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</si>
  <si>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</si>
  <si>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</si>
  <si>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</si>
  <si>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</si>
  <si>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</si>
  <si>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</si>
  <si>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</si>
  <si>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</si>
  <si>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</si>
  <si>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</si>
  <si>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</si>
  <si>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</si>
  <si>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</si>
  <si>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</si>
  <si>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</si>
  <si>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</si>
  <si>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</si>
  <si>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</si>
  <si>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</si>
  <si>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</si>
  <si>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</si>
  <si>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</si>
  <si>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</si>
  <si>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</si>
  <si>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</si>
  <si>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</si>
  <si>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</si>
  <si>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</si>
  <si>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</si>
  <si>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</si>
  <si>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</si>
  <si>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</si>
  <si>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</si>
  <si>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</si>
  <si>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</si>
  <si>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</si>
  <si>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</si>
  <si>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</si>
  <si>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</si>
  <si>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</si>
  <si>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</si>
  <si>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</si>
  <si>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</si>
  <si>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</si>
  <si>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</si>
  <si>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</si>
  <si>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</si>
  <si>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</si>
  <si>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</si>
  <si>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</si>
  <si>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</si>
  <si>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</si>
  <si>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</si>
  <si>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</si>
  <si>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</si>
  <si>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</si>
  <si>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</si>
  <si>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</si>
  <si>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</si>
  <si>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</si>
  <si>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</si>
  <si>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</si>
  <si>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</si>
  <si>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</si>
  <si>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</si>
  <si>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</si>
  <si>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</si>
  <si>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</si>
  <si>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</si>
  <si>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</si>
  <si>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</si>
  <si>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</si>
  <si>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</si>
  <si>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</si>
  <si>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</si>
  <si>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</si>
  <si>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</si>
  <si>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</si>
  <si>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</si>
  <si>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</si>
  <si>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</si>
  <si>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</si>
  <si>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</si>
  <si>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</si>
  <si>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</si>
  <si>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</si>
  <si>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</si>
  <si>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</si>
  <si>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</si>
  <si>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</si>
  <si>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</si>
  <si>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</si>
  <si>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</si>
  <si>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</si>
  <si>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</si>
  <si>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</si>
  <si>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</si>
  <si>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</si>
  <si>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</si>
  <si>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</si>
  <si>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</si>
  <si>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</si>
  <si>
    <t>Mean monthly height differences between pillars</t>
  </si>
  <si>
    <t>Sum</t>
  </si>
  <si>
    <t>Staff 26296</t>
  </si>
  <si>
    <t>observed</t>
  </si>
  <si>
    <t>corrected</t>
  </si>
  <si>
    <t>std devn</t>
  </si>
  <si>
    <t>Staff 79918</t>
  </si>
  <si>
    <t xml:space="preserve"> 10-11 </t>
  </si>
  <si>
    <t>∆ observed</t>
  </si>
  <si>
    <t>∆ corrected</t>
  </si>
  <si>
    <t>adjusted</t>
  </si>
  <si>
    <t>∆ Adjusted</t>
  </si>
  <si>
    <t>Obs Date</t>
  </si>
  <si>
    <t>Comparison of staff 26296 &amp; 79918</t>
  </si>
  <si>
    <t>∆ Oct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</si>
</sst>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9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3"/>
      <color rgb="FF0C0C0D"/>
      <name val="Fira Sans"/>
      <family val="2"/>
    </font>
    <font>
      <sz val="11"/>
      <color rgb="FF0C0C0D"/>
      <name val="Fira Sans"/>
      <family val="2"/>
    </font>
    <font>
      <sz val="13"/>
      <color rgb="FFFFFFFF"/>
      <name val="Fira Sans"/>
      <family val="2"/>
    </font>
    <font>
      <sz val="13"/>
      <color rgb="FFFFFFFF"/>
      <name val="Fira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F9FA"/>
        <bgColor indexed="64"/>
      </patternFill>
    </fill>
    <fill>
      <patternFill patternType="solid">
        <fgColor rgb="FF6BBD6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0E0E1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BBBBBB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E0E0E1"/>
      </bottom>
      <diagonal/>
    </border>
    <border>
      <left style="medium">
        <color rgb="FFFF0000"/>
      </left>
      <right style="medium">
        <color rgb="FFFF0000"/>
      </right>
      <top style="medium">
        <color rgb="FF00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16" fontId="16" fillId="5" borderId="23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6" fillId="5" borderId="27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 wrapText="1"/>
    </xf>
    <xf numFmtId="0" fontId="9" fillId="0" borderId="0" xfId="0" applyFont="1"/>
    <xf numFmtId="16" fontId="9" fillId="0" borderId="0" xfId="0" applyNumberFormat="1" applyFont="1"/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8" borderId="0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26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8" fillId="7" borderId="24" xfId="0" applyFont="1" applyFill="1" applyBorder="1" applyAlignment="1">
      <alignment horizontal="center" vertical="center" wrapText="1"/>
    </xf>
    <xf numFmtId="0" fontId="18" fillId="7" borderId="25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8" fillId="7" borderId="28" xfId="0" applyFont="1" applyFill="1" applyBorder="1" applyAlignment="1">
      <alignment horizontal="center" vertical="center" wrapText="1"/>
    </xf>
    <xf numFmtId="0" fontId="18" fillId="7" borderId="29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0</xdr:rowOff>
        </xdr:from>
        <xdr:to>
          <xdr:col>7</xdr:col>
          <xdr:colOff>57150</xdr:colOff>
          <xdr:row>2</xdr:row>
          <xdr:rowOff>133350</xdr:rowOff>
        </xdr:to>
        <xdr:sp macro="" textlink="">
          <xdr:nvSpPr>
            <xdr:cNvPr id="18433" name="CopyToStaff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55">
        <v>27690</v>
      </c>
      <c r="B2" s="155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V41"/>
  <sheetViews>
    <sheetView topLeftCell="HE1" zoomScale="80" zoomScaleNormal="80" workbookViewId="0">
      <selection activeCell="HX4" sqref="HX4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  <col min="224" max="224" width="3.77734375" customWidth="1"/>
  </cols>
  <sheetData>
    <row r="1" spans="1:230" x14ac:dyDescent="0.2">
      <c r="A1" s="155">
        <v>26296</v>
      </c>
      <c r="B1" s="155"/>
    </row>
    <row r="2" spans="1:230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  <c r="HS2" s="20">
        <v>44461</v>
      </c>
      <c r="HT2" t="s">
        <v>145</v>
      </c>
    </row>
    <row r="3" spans="1:230" x14ac:dyDescent="0.2">
      <c r="HF3" t="s">
        <v>419</v>
      </c>
      <c r="HM3" t="s">
        <v>419</v>
      </c>
      <c r="HT3" t="s">
        <v>419</v>
      </c>
    </row>
    <row r="4" spans="1:230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  <c r="HQ4" s="2" t="s">
        <v>0</v>
      </c>
      <c r="HR4" s="2" t="s">
        <v>1</v>
      </c>
      <c r="HS4" s="3" t="s">
        <v>2</v>
      </c>
      <c r="HT4" s="7" t="s">
        <v>4</v>
      </c>
      <c r="HU4" s="5" t="s">
        <v>5</v>
      </c>
      <c r="HV4" s="3" t="s">
        <v>6</v>
      </c>
    </row>
    <row r="5" spans="1:230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  <c r="HQ5" s="5"/>
      <c r="HR5" s="5"/>
      <c r="HS5" s="43">
        <f>(23+25)/2</f>
        <v>24</v>
      </c>
      <c r="HT5" s="8" t="s">
        <v>3</v>
      </c>
      <c r="HU5" s="5"/>
      <c r="HV5" s="3"/>
    </row>
    <row r="6" spans="1:230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  <c r="HQ6" s="5">
        <v>1</v>
      </c>
      <c r="HR6" s="41">
        <v>7.288E-2</v>
      </c>
      <c r="HS6" s="34">
        <f>1.00000381*(1+0.00000084*($HS$5-19.8))</f>
        <v>1.0000073380134415</v>
      </c>
      <c r="HT6" s="21">
        <f>HR6*HS6</f>
        <v>7.2880534794419624E-2</v>
      </c>
      <c r="HU6" s="5">
        <v>10</v>
      </c>
      <c r="HV6" s="3">
        <v>1.0000000000000001E-5</v>
      </c>
    </row>
    <row r="7" spans="1:230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  <c r="HQ7" s="5">
        <v>2</v>
      </c>
      <c r="HR7" s="41">
        <v>0.16366</v>
      </c>
      <c r="HS7" s="34">
        <f t="shared" ref="HS7:HS20" si="63">1.00000381*(1+0.00000084*($HS$5-19.8))</f>
        <v>1.0000073380134415</v>
      </c>
      <c r="HT7" s="21">
        <f t="shared" ref="HT7:HT20" si="64">HR7*HS7</f>
        <v>0.16366120093927986</v>
      </c>
      <c r="HU7" s="5">
        <v>10</v>
      </c>
      <c r="HV7" s="3">
        <v>1.0000000000000001E-5</v>
      </c>
    </row>
    <row r="8" spans="1:230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5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  <c r="HQ8" s="5">
        <v>3</v>
      </c>
      <c r="HR8" s="41">
        <v>0.32768999999999998</v>
      </c>
      <c r="HS8" s="34">
        <f t="shared" si="63"/>
        <v>1.0000073380134415</v>
      </c>
      <c r="HT8" s="21">
        <f t="shared" si="64"/>
        <v>0.32769240459362464</v>
      </c>
      <c r="HU8" s="5">
        <v>10</v>
      </c>
      <c r="HV8" s="3">
        <v>1.0000000000000001E-5</v>
      </c>
    </row>
    <row r="9" spans="1:230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5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  <c r="HQ9" s="5">
        <v>4</v>
      </c>
      <c r="HR9" s="41">
        <v>0.47376000000000001</v>
      </c>
      <c r="HS9" s="34">
        <f t="shared" si="63"/>
        <v>1.0000073380134415</v>
      </c>
      <c r="HT9" s="21">
        <f t="shared" si="64"/>
        <v>0.47376347645724809</v>
      </c>
      <c r="HU9" s="5">
        <v>10</v>
      </c>
      <c r="HV9" s="3">
        <v>1.0000000000000001E-5</v>
      </c>
    </row>
    <row r="10" spans="1:230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5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  <c r="HQ10" s="5">
        <v>5</v>
      </c>
      <c r="HR10" s="41">
        <v>0.68689</v>
      </c>
      <c r="HS10" s="34">
        <f t="shared" si="63"/>
        <v>1.0000073380134415</v>
      </c>
      <c r="HT10" s="21">
        <f t="shared" si="64"/>
        <v>0.68689504040805283</v>
      </c>
      <c r="HU10" s="5">
        <v>10</v>
      </c>
      <c r="HV10" s="3">
        <v>1.0000000000000001E-5</v>
      </c>
    </row>
    <row r="11" spans="1:230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6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7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8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5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  <c r="HQ11" s="5">
        <v>6</v>
      </c>
      <c r="HR11" s="41">
        <v>0.87297000000000002</v>
      </c>
      <c r="HS11" s="34">
        <f t="shared" si="63"/>
        <v>1.0000073380134415</v>
      </c>
      <c r="HT11" s="21">
        <f t="shared" si="64"/>
        <v>0.87297640586559411</v>
      </c>
      <c r="HU11" s="5">
        <v>10</v>
      </c>
      <c r="HV11" s="3">
        <v>1.0000000000000001E-5</v>
      </c>
    </row>
    <row r="12" spans="1:230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5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  <c r="HQ12" s="5">
        <v>7</v>
      </c>
      <c r="HR12" s="41">
        <v>1.0727</v>
      </c>
      <c r="HS12" s="34">
        <f t="shared" si="63"/>
        <v>1.0000073380134415</v>
      </c>
      <c r="HT12" s="21">
        <f t="shared" si="64"/>
        <v>1.0727078714870186</v>
      </c>
      <c r="HU12" s="5">
        <v>10</v>
      </c>
      <c r="HV12" s="3">
        <v>1.0000000000000001E-5</v>
      </c>
    </row>
    <row r="13" spans="1:230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9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70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71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2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3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4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5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5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  <c r="HQ13" s="5">
        <v>8</v>
      </c>
      <c r="HR13" s="41">
        <v>1.2776700000000001</v>
      </c>
      <c r="HS13" s="34">
        <f t="shared" si="63"/>
        <v>1.0000073380134415</v>
      </c>
      <c r="HT13" s="21">
        <f t="shared" si="64"/>
        <v>1.2776793755596338</v>
      </c>
      <c r="HU13" s="5">
        <v>10</v>
      </c>
      <c r="HV13" s="3">
        <v>1.0000000000000001E-5</v>
      </c>
    </row>
    <row r="14" spans="1:230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9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70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71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2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3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4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5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5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  <c r="HQ14" s="5">
        <v>9</v>
      </c>
      <c r="HR14" s="41">
        <v>1.5246</v>
      </c>
      <c r="HS14" s="34">
        <f t="shared" si="63"/>
        <v>1.0000073380134415</v>
      </c>
      <c r="HT14" s="21">
        <f t="shared" si="64"/>
        <v>1.524611187535293</v>
      </c>
      <c r="HU14" s="5">
        <v>10</v>
      </c>
      <c r="HV14" s="3">
        <v>1.0000000000000001E-5</v>
      </c>
    </row>
    <row r="15" spans="1:230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9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70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71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2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3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4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5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5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  <c r="HQ15" s="5">
        <v>10</v>
      </c>
      <c r="HR15" s="41">
        <v>1.7922</v>
      </c>
      <c r="HS15" s="34">
        <f t="shared" si="63"/>
        <v>1.0000073380134415</v>
      </c>
      <c r="HT15" s="21">
        <f t="shared" si="64"/>
        <v>1.79221315118769</v>
      </c>
      <c r="HU15" s="5">
        <v>10</v>
      </c>
      <c r="HV15" s="3">
        <v>0</v>
      </c>
    </row>
    <row r="16" spans="1:230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9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70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71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2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3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4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5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5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  <c r="HQ16" s="5">
        <v>11</v>
      </c>
      <c r="HR16" s="41">
        <v>2.1252599999999999</v>
      </c>
      <c r="HS16" s="34">
        <f t="shared" si="63"/>
        <v>1.0000073380134415</v>
      </c>
      <c r="HT16" s="21">
        <f t="shared" si="64"/>
        <v>2.1252755951864466</v>
      </c>
      <c r="HU16" s="5">
        <v>10</v>
      </c>
      <c r="HV16" s="3">
        <v>1.0000000000000001E-5</v>
      </c>
    </row>
    <row r="17" spans="1:230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9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70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71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2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3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4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5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5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  <c r="HQ17" s="5">
        <v>12</v>
      </c>
      <c r="HR17" s="41">
        <v>2.3890799999999999</v>
      </c>
      <c r="HS17" s="34">
        <f t="shared" si="63"/>
        <v>1.0000073380134415</v>
      </c>
      <c r="HT17" s="21">
        <f t="shared" si="64"/>
        <v>2.3890975311011529</v>
      </c>
      <c r="HU17" s="5">
        <v>10</v>
      </c>
      <c r="HV17" s="3">
        <v>1.0000000000000001E-5</v>
      </c>
    </row>
    <row r="18" spans="1:230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9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70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71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2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3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4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5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5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  <c r="HQ18" s="5">
        <v>13</v>
      </c>
      <c r="HR18" s="41">
        <v>2.5149599999999999</v>
      </c>
      <c r="HS18" s="34">
        <f t="shared" si="63"/>
        <v>1.0000073380134415</v>
      </c>
      <c r="HT18" s="21">
        <f t="shared" si="64"/>
        <v>2.5149784548102847</v>
      </c>
      <c r="HU18" s="5">
        <v>10</v>
      </c>
      <c r="HV18" s="3">
        <v>1.0000000000000001E-5</v>
      </c>
    </row>
    <row r="19" spans="1:230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9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70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71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2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3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4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5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5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  <c r="HQ19" s="5">
        <v>14</v>
      </c>
      <c r="HR19" s="41">
        <v>2.6447099999999999</v>
      </c>
      <c r="HS19" s="34">
        <f t="shared" si="63"/>
        <v>1.0000073380134415</v>
      </c>
      <c r="HT19" s="21">
        <f t="shared" si="64"/>
        <v>2.6447294069175289</v>
      </c>
      <c r="HU19" s="5">
        <v>10</v>
      </c>
      <c r="HV19" s="3">
        <v>0</v>
      </c>
    </row>
    <row r="20" spans="1:230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6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9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70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71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2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3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4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5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5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  <c r="HQ20" s="5">
        <v>15</v>
      </c>
      <c r="HR20" s="41">
        <v>2.8731100000000001</v>
      </c>
      <c r="HS20" s="34">
        <f t="shared" si="63"/>
        <v>1.0000073380134415</v>
      </c>
      <c r="HT20" s="21">
        <f t="shared" si="64"/>
        <v>2.8731310829197989</v>
      </c>
      <c r="HU20" s="5">
        <v>10</v>
      </c>
      <c r="HV20" s="3">
        <v>1.0000000000000001E-5</v>
      </c>
    </row>
    <row r="21" spans="1:230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  <c r="HT21" s="15"/>
    </row>
    <row r="22" spans="1:230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  <c r="HQ22" s="144"/>
      <c r="HR22" s="144"/>
      <c r="HS22" s="43">
        <f>(24.1+26.3)/2</f>
        <v>25.200000000000003</v>
      </c>
      <c r="HT22" s="23"/>
      <c r="HU22" s="144" t="s">
        <v>3</v>
      </c>
      <c r="HV22" s="144"/>
    </row>
    <row r="23" spans="1:230" ht="15.75" x14ac:dyDescent="0.25">
      <c r="A23" s="5">
        <v>7</v>
      </c>
      <c r="B23" s="5">
        <v>7.9579999999999998E-2</v>
      </c>
      <c r="C23" s="5">
        <f t="shared" ref="C23:C37" si="77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8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9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80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81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2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3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4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5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6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7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8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9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90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91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2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3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4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5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6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7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8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9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100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101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2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3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4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5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6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7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8">HK23*HL23</f>
        <v>7.740013235338071E-2</v>
      </c>
      <c r="HN23" s="5">
        <v>10</v>
      </c>
      <c r="HO23" s="3">
        <v>1.0000000000000001E-5</v>
      </c>
      <c r="HQ23" s="5">
        <v>7</v>
      </c>
      <c r="HR23" s="41">
        <v>7.8439999999999996E-2</v>
      </c>
      <c r="HS23" s="34">
        <f>1.00000381*(1+0.00000084*($HS$22-19.8))</f>
        <v>1.0000083460172822</v>
      </c>
      <c r="HT23" s="21">
        <f t="shared" ref="HT23:HT37" si="109">HR23*HS23</f>
        <v>7.844065466159561E-2</v>
      </c>
      <c r="HU23" s="5">
        <v>10</v>
      </c>
      <c r="HV23" s="3">
        <v>1.0000000000000001E-5</v>
      </c>
    </row>
    <row r="24" spans="1:230" ht="15.75" x14ac:dyDescent="0.25">
      <c r="A24" s="5">
        <v>8</v>
      </c>
      <c r="B24" s="5">
        <v>0.28456999999999999</v>
      </c>
      <c r="C24" s="5">
        <f t="shared" si="77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10">1.00000381*(1+0.00000084*($J$22-19.8))</f>
        <v>1.0000070020121616</v>
      </c>
      <c r="K24" s="21">
        <f t="shared" si="78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11">1.00000381*(1+0.00000084*($Q$22-19.8))</f>
        <v>1.0000085980182423</v>
      </c>
      <c r="R24" s="21">
        <f t="shared" si="79"/>
        <v>0.28235242765045071</v>
      </c>
      <c r="S24" s="5">
        <v>10</v>
      </c>
      <c r="T24" s="5"/>
      <c r="V24" s="5">
        <v>8</v>
      </c>
      <c r="W24" s="5"/>
      <c r="X24" s="5">
        <f t="shared" ref="X24:X37" si="112">1.00000381*(1+0.00000084*($X$22-19.8))</f>
        <v>1.0000085980182423</v>
      </c>
      <c r="Y24" s="21">
        <f t="shared" si="80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3">1.00000381*(1+0.00000084*($AE$22-19.8))</f>
        <v>1.0000062460092811</v>
      </c>
      <c r="AF24" s="21">
        <f t="shared" si="81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4">1.00000381*(1+0.00000084*($AL$22-19.8))</f>
        <v>1.0000126300336041</v>
      </c>
      <c r="AM24" s="21">
        <f t="shared" si="82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5">1.00000381*(1+0.00000084*($AS$22-19.8))</f>
        <v>1.0000023819945592</v>
      </c>
      <c r="AT24" s="21">
        <f t="shared" si="83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6">1.00000381*(1+0.00000084*($AZ$22-19.8))</f>
        <v>1.0000013739907188</v>
      </c>
      <c r="BA24" s="21">
        <f t="shared" si="84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7">1.00000381*(1+0.00000084*($BG$22-19.8))</f>
        <v>1.0000065820105613</v>
      </c>
      <c r="BH24" s="21">
        <f t="shared" si="85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8">1.00000381*(1+0.00000084*($BN$22-19.8))</f>
        <v>1.0000029699967996</v>
      </c>
      <c r="BO24" s="21">
        <f t="shared" ref="BO24:BO37" si="119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20">1.00000381*(1+0.00000084*($BU$22-19.8))</f>
        <v>1.0000121680318441</v>
      </c>
      <c r="BV24" s="21">
        <f t="shared" si="87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21">1.00000381*(1+0.00000084*($CB$22-19.8))</f>
        <v>1.0000072540131217</v>
      </c>
      <c r="CC24" s="21">
        <f t="shared" si="88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22">1.00000381*(1+0.00000084*($CI$22-19.8))</f>
        <v>1.0000114540291236</v>
      </c>
      <c r="CJ24" s="21">
        <f t="shared" si="89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3">1.00000381*(1+0.00000084*($CP$22-19.8))</f>
        <v>1.0000017099919989</v>
      </c>
      <c r="CQ24" s="21">
        <f t="shared" si="90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4">1.00000381*(1+0.00000084*($CP$22-19.8))</f>
        <v>1.0000017099919989</v>
      </c>
      <c r="CX24" s="21">
        <f t="shared" si="91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5">1.00000381*(1+0.00000084*($DD$22-19.8))</f>
        <v>1.0000012059900787</v>
      </c>
      <c r="DE24" s="21">
        <f t="shared" si="92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6">1.00000381*(1+0.00000084*($DK$22-19.8))</f>
        <v>1.0000036839995199</v>
      </c>
      <c r="DL24" s="21">
        <f t="shared" si="93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7">1.00000381*(1+0.00000084*($DR$22-19.8))</f>
        <v>1.0000032219977597</v>
      </c>
      <c r="DS24" s="21">
        <f t="shared" si="94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8">1.00000381*(1+0.00000084*($DY$22-19.8))</f>
        <v>1.0000051960052807</v>
      </c>
      <c r="DZ24" s="21">
        <f t="shared" si="95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9">1.00000381*(1+0.00000084*($EF$22-19.8))</f>
        <v>1.0000114120289636</v>
      </c>
      <c r="EG24" s="21">
        <f t="shared" si="96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30">1.00000381*(1+0.00000084*($EM$22-19.8))</f>
        <v>1.0000063720097612</v>
      </c>
      <c r="EN24" s="21">
        <f t="shared" si="97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31">1.00000381*(1+0.00000084*($ET$22-19.8))</f>
        <v>1.0000127560340841</v>
      </c>
      <c r="EU24" s="21">
        <f t="shared" si="98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32">1.00000381*(1+0.00000084*($FA$22-19.8))</f>
        <v>1.0000031589975196</v>
      </c>
      <c r="FB24" s="21">
        <f t="shared" si="99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3">1.00000381*(1+0.00000084*($FH$22-19.8))</f>
        <v>1.0000045660028802</v>
      </c>
      <c r="FI24" s="21">
        <f t="shared" si="100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4">1.00000381*(1+0.00000084*($FO$22-19.8))</f>
        <v>1.0000011219897587</v>
      </c>
      <c r="FP24" s="21">
        <f t="shared" si="101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5">1.00000381*(1+0.00000084*($FV$22-19.8))</f>
        <v>0.99999952598367792</v>
      </c>
      <c r="FW24" s="21">
        <f t="shared" si="102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6">1.00000381*(1+0.00000084*($GC$22-19.8))</f>
        <v>1.0000018359924789</v>
      </c>
      <c r="GD24" s="21">
        <f t="shared" si="103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7">1.00000381*(1+0.00000084*($GJ$22-19.8))</f>
        <v>1.0000019199927992</v>
      </c>
      <c r="GK24" s="21">
        <f t="shared" si="104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8">1.00000381*(1+0.00000084*($GQ$22-19.8))</f>
        <v>1.0000009329890385</v>
      </c>
      <c r="GR24" s="21">
        <f t="shared" si="105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9">1.00000381*(1+0.00000084*($GX$22-19.8))</f>
        <v>1.00000420900152</v>
      </c>
      <c r="GY24" s="21">
        <f t="shared" si="106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40">1.00000381*(1+0.00000084*($HE$22-19.8))</f>
        <v>1.0000110130274433</v>
      </c>
      <c r="HF24" s="21">
        <f t="shared" si="107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41">1.00000381*(1+0.00000084*($HL$22-19.8))</f>
        <v>1.0000017099919989</v>
      </c>
      <c r="HM24" s="21">
        <f t="shared" si="108"/>
        <v>0.28235048281624087</v>
      </c>
      <c r="HN24" s="5">
        <v>10</v>
      </c>
      <c r="HO24" s="3">
        <v>1.0000000000000001E-5</v>
      </c>
      <c r="HQ24" s="5">
        <v>8</v>
      </c>
      <c r="HR24" s="41">
        <v>0.28347</v>
      </c>
      <c r="HS24" s="34">
        <f t="shared" ref="HS24:HS37" si="142">1.00000381*(1+0.00000084*($HS$22-19.8))</f>
        <v>1.0000083460172822</v>
      </c>
      <c r="HT24" s="21">
        <f t="shared" si="109"/>
        <v>0.28347236584551899</v>
      </c>
      <c r="HU24" s="5">
        <v>10</v>
      </c>
      <c r="HV24" s="3">
        <v>1.0000000000000001E-5</v>
      </c>
    </row>
    <row r="25" spans="1:230" ht="15.75" x14ac:dyDescent="0.25">
      <c r="A25" s="5">
        <v>9</v>
      </c>
      <c r="B25" s="5">
        <v>0.53149000000000002</v>
      </c>
      <c r="C25" s="5">
        <f t="shared" si="77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10"/>
        <v>1.0000070020121616</v>
      </c>
      <c r="K25" s="21">
        <f t="shared" si="78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11"/>
        <v>1.0000085980182423</v>
      </c>
      <c r="R25" s="21">
        <f t="shared" si="79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12"/>
        <v>1.0000085980182423</v>
      </c>
      <c r="Y25" s="21">
        <f t="shared" si="80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3"/>
        <v>1.0000062460092811</v>
      </c>
      <c r="AF25" s="21">
        <f t="shared" si="81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4"/>
        <v>1.0000126300336041</v>
      </c>
      <c r="AM25" s="21">
        <f t="shared" si="82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5"/>
        <v>1.0000023819945592</v>
      </c>
      <c r="AT25" s="21">
        <f t="shared" si="83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6"/>
        <v>1.0000013739907188</v>
      </c>
      <c r="BA25" s="21">
        <f t="shared" si="84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7"/>
        <v>1.0000065820105613</v>
      </c>
      <c r="BH25" s="21">
        <f t="shared" si="85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8"/>
        <v>1.0000029699967996</v>
      </c>
      <c r="BO25" s="21">
        <f t="shared" si="119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20"/>
        <v>1.0000121680318441</v>
      </c>
      <c r="BV25" s="21">
        <f t="shared" si="87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21"/>
        <v>1.0000072540131217</v>
      </c>
      <c r="CC25" s="21">
        <f t="shared" si="88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22"/>
        <v>1.0000114540291236</v>
      </c>
      <c r="CJ25" s="21">
        <f t="shared" si="89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3"/>
        <v>1.0000017099919989</v>
      </c>
      <c r="CQ25" s="21">
        <f t="shared" si="90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4"/>
        <v>1.0000017099919989</v>
      </c>
      <c r="CX25" s="21">
        <f t="shared" si="91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5"/>
        <v>1.0000012059900787</v>
      </c>
      <c r="DE25" s="21">
        <f t="shared" si="92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6"/>
        <v>1.0000036839995199</v>
      </c>
      <c r="DL25" s="21">
        <f t="shared" si="93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7"/>
        <v>1.0000032219977597</v>
      </c>
      <c r="DS25" s="21">
        <f t="shared" si="94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8"/>
        <v>1.0000051960052807</v>
      </c>
      <c r="DZ25" s="21">
        <f t="shared" si="95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9"/>
        <v>1.0000114120289636</v>
      </c>
      <c r="EG25" s="21">
        <f t="shared" si="96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30"/>
        <v>1.0000063720097612</v>
      </c>
      <c r="EN25" s="21">
        <f t="shared" si="97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31"/>
        <v>1.0000127560340841</v>
      </c>
      <c r="EU25" s="21">
        <f t="shared" si="98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32"/>
        <v>1.0000031589975196</v>
      </c>
      <c r="FB25" s="21">
        <f t="shared" si="99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3"/>
        <v>1.0000045660028802</v>
      </c>
      <c r="FI25" s="21">
        <f t="shared" si="100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4"/>
        <v>1.0000011219897587</v>
      </c>
      <c r="FP25" s="21">
        <f t="shared" si="101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5"/>
        <v>0.99999952598367792</v>
      </c>
      <c r="FW25" s="21">
        <f t="shared" si="102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6"/>
        <v>1.0000018359924789</v>
      </c>
      <c r="GD25" s="21">
        <f t="shared" si="103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7"/>
        <v>1.0000019199927992</v>
      </c>
      <c r="GK25" s="21">
        <f t="shared" si="104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8"/>
        <v>1.0000009329890385</v>
      </c>
      <c r="GR25" s="21">
        <f t="shared" si="105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9"/>
        <v>1.00000420900152</v>
      </c>
      <c r="GY25" s="21">
        <f t="shared" si="106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40"/>
        <v>1.0000110130274433</v>
      </c>
      <c r="HF25" s="21">
        <f t="shared" si="107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41"/>
        <v>1.0000017099919989</v>
      </c>
      <c r="HM25" s="21">
        <f t="shared" si="108"/>
        <v>0.52928090506456515</v>
      </c>
      <c r="HN25" s="5">
        <v>10</v>
      </c>
      <c r="HO25" s="3">
        <v>1.0000000000000001E-5</v>
      </c>
      <c r="HQ25" s="5">
        <v>9</v>
      </c>
      <c r="HR25" s="41">
        <v>0.53030999999999995</v>
      </c>
      <c r="HS25" s="34">
        <f t="shared" si="142"/>
        <v>1.0000083460172822</v>
      </c>
      <c r="HT25" s="21">
        <f t="shared" si="109"/>
        <v>0.53031442597642486</v>
      </c>
      <c r="HU25" s="5">
        <v>10</v>
      </c>
      <c r="HV25" s="3">
        <v>1.0000000000000001E-5</v>
      </c>
    </row>
    <row r="26" spans="1:230" ht="15.75" x14ac:dyDescent="0.25">
      <c r="A26" s="5">
        <v>10</v>
      </c>
      <c r="B26" s="5">
        <v>0.79905000000000004</v>
      </c>
      <c r="C26" s="5">
        <f t="shared" si="77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10"/>
        <v>1.0000070020121616</v>
      </c>
      <c r="K26" s="21">
        <f t="shared" si="78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11"/>
        <v>1.0000085980182423</v>
      </c>
      <c r="R26" s="21">
        <f t="shared" si="79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12"/>
        <v>1.0000085980182423</v>
      </c>
      <c r="Y26" s="21">
        <f t="shared" si="80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3"/>
        <v>1.0000062460092811</v>
      </c>
      <c r="AF26" s="21">
        <f t="shared" si="81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4"/>
        <v>1.0000126300336041</v>
      </c>
      <c r="AM26" s="21">
        <f t="shared" si="82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5"/>
        <v>1.0000023819945592</v>
      </c>
      <c r="AT26" s="21">
        <f t="shared" si="83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6"/>
        <v>1.0000013739907188</v>
      </c>
      <c r="BA26" s="21">
        <f t="shared" si="84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7"/>
        <v>1.0000065820105613</v>
      </c>
      <c r="BH26" s="21">
        <f t="shared" si="85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8"/>
        <v>1.0000029699967996</v>
      </c>
      <c r="BO26" s="21">
        <f t="shared" si="119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20"/>
        <v>1.0000121680318441</v>
      </c>
      <c r="BV26" s="21">
        <f t="shared" si="87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21"/>
        <v>1.0000072540131217</v>
      </c>
      <c r="CC26" s="21">
        <f t="shared" si="88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22"/>
        <v>1.0000114540291236</v>
      </c>
      <c r="CJ26" s="21">
        <f t="shared" si="89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3"/>
        <v>1.0000017099919989</v>
      </c>
      <c r="CQ26" s="21">
        <f t="shared" si="90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4"/>
        <v>1.0000017099919989</v>
      </c>
      <c r="CX26" s="21">
        <f t="shared" si="91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5"/>
        <v>1.0000012059900787</v>
      </c>
      <c r="DE26" s="21">
        <f t="shared" si="92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6"/>
        <v>1.0000036839995199</v>
      </c>
      <c r="DL26" s="21">
        <f t="shared" si="93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7"/>
        <v>1.0000032219977597</v>
      </c>
      <c r="DS26" s="21">
        <f t="shared" si="94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8"/>
        <v>1.0000051960052807</v>
      </c>
      <c r="DZ26" s="21">
        <f t="shared" si="95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9"/>
        <v>1.0000114120289636</v>
      </c>
      <c r="EG26" s="21">
        <f t="shared" si="96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30"/>
        <v>1.0000063720097612</v>
      </c>
      <c r="EN26" s="21">
        <f t="shared" si="97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31"/>
        <v>1.0000127560340841</v>
      </c>
      <c r="EU26" s="21">
        <f t="shared" si="98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32"/>
        <v>1.0000031589975196</v>
      </c>
      <c r="FB26" s="21">
        <f t="shared" si="99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3"/>
        <v>1.0000045660028802</v>
      </c>
      <c r="FI26" s="21">
        <f t="shared" si="100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4"/>
        <v>1.0000011219897587</v>
      </c>
      <c r="FP26" s="21">
        <f t="shared" si="101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5"/>
        <v>0.99999952598367792</v>
      </c>
      <c r="FW26" s="21">
        <f t="shared" si="102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6"/>
        <v>1.0000018359924789</v>
      </c>
      <c r="GD26" s="21">
        <f t="shared" si="103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7"/>
        <v>1.0000019199927992</v>
      </c>
      <c r="GK26" s="21">
        <f t="shared" si="104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8"/>
        <v>1.0000009329890385</v>
      </c>
      <c r="GR26" s="21">
        <f t="shared" si="105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9"/>
        <v>1.00000420900152</v>
      </c>
      <c r="GY26" s="21">
        <f t="shared" si="106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40"/>
        <v>1.0000110130274433</v>
      </c>
      <c r="HF26" s="21">
        <f t="shared" si="107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41"/>
        <v>1.0000017099919989</v>
      </c>
      <c r="HM26" s="21">
        <f t="shared" si="108"/>
        <v>0.79689136267552396</v>
      </c>
      <c r="HN26" s="5">
        <v>10</v>
      </c>
      <c r="HO26" s="3">
        <v>1.0000000000000001E-5</v>
      </c>
      <c r="HQ26" s="5">
        <v>10</v>
      </c>
      <c r="HR26" s="41">
        <v>0.79791999999999996</v>
      </c>
      <c r="HS26" s="34">
        <f t="shared" si="142"/>
        <v>1.0000083460172822</v>
      </c>
      <c r="HT26" s="21">
        <f t="shared" si="109"/>
        <v>0.79792665945410979</v>
      </c>
      <c r="HU26" s="5">
        <v>10</v>
      </c>
      <c r="HV26" s="3">
        <v>1.0000000000000001E-5</v>
      </c>
    </row>
    <row r="27" spans="1:230" ht="15.75" x14ac:dyDescent="0.25">
      <c r="A27" s="5">
        <v>11</v>
      </c>
      <c r="B27" s="5">
        <v>1.13209</v>
      </c>
      <c r="C27" s="5">
        <f t="shared" si="77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10"/>
        <v>1.0000070020121616</v>
      </c>
      <c r="K27" s="21">
        <f t="shared" si="78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11"/>
        <v>1.0000085980182423</v>
      </c>
      <c r="R27" s="21">
        <f t="shared" si="79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12"/>
        <v>1.0000085980182423</v>
      </c>
      <c r="Y27" s="21">
        <f t="shared" si="80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3"/>
        <v>1.0000062460092811</v>
      </c>
      <c r="AF27" s="21">
        <f t="shared" si="81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4"/>
        <v>1.0000126300336041</v>
      </c>
      <c r="AM27" s="21">
        <f t="shared" si="82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5"/>
        <v>1.0000023819945592</v>
      </c>
      <c r="AT27" s="21">
        <f t="shared" si="83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6"/>
        <v>1.0000013739907188</v>
      </c>
      <c r="BA27" s="21">
        <f t="shared" si="84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7"/>
        <v>1.0000065820105613</v>
      </c>
      <c r="BH27" s="21">
        <f t="shared" si="85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8"/>
        <v>1.0000029699967996</v>
      </c>
      <c r="BO27" s="21">
        <f t="shared" si="119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20"/>
        <v>1.0000121680318441</v>
      </c>
      <c r="BV27" s="21">
        <f t="shared" si="87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21"/>
        <v>1.0000072540131217</v>
      </c>
      <c r="CC27" s="21">
        <f t="shared" si="88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22"/>
        <v>1.0000114540291236</v>
      </c>
      <c r="CJ27" s="21">
        <f t="shared" si="89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3"/>
        <v>1.0000017099919989</v>
      </c>
      <c r="CQ27" s="21">
        <f t="shared" si="90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4"/>
        <v>1.0000017099919989</v>
      </c>
      <c r="CX27" s="21">
        <f t="shared" si="91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5"/>
        <v>1.0000012059900787</v>
      </c>
      <c r="DE27" s="21">
        <f t="shared" si="92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6"/>
        <v>1.0000036839995199</v>
      </c>
      <c r="DL27" s="21">
        <f t="shared" si="93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7"/>
        <v>1.0000032219977597</v>
      </c>
      <c r="DS27" s="21">
        <f t="shared" si="94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8"/>
        <v>1.0000051960052807</v>
      </c>
      <c r="DZ27" s="21">
        <f t="shared" si="95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9"/>
        <v>1.0000114120289636</v>
      </c>
      <c r="EG27" s="21">
        <f t="shared" si="96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30"/>
        <v>1.0000063720097612</v>
      </c>
      <c r="EN27" s="21">
        <f t="shared" si="97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31"/>
        <v>1.0000127560340841</v>
      </c>
      <c r="EU27" s="21">
        <f t="shared" si="98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32"/>
        <v>1.0000031589975196</v>
      </c>
      <c r="FB27" s="21">
        <f t="shared" si="99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3"/>
        <v>1.0000045660028802</v>
      </c>
      <c r="FI27" s="21">
        <f t="shared" si="100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4"/>
        <v>1.0000011219897587</v>
      </c>
      <c r="FP27" s="21">
        <f t="shared" si="101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5"/>
        <v>0.99999952598367792</v>
      </c>
      <c r="FW27" s="21">
        <f t="shared" si="102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6"/>
        <v>1.0000018359924789</v>
      </c>
      <c r="GD27" s="21">
        <f t="shared" si="103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7"/>
        <v>1.0000019199927992</v>
      </c>
      <c r="GK27" s="21">
        <f t="shared" si="104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8"/>
        <v>1.0000009329890385</v>
      </c>
      <c r="GR27" s="21">
        <f t="shared" si="105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9"/>
        <v>1.00000420900152</v>
      </c>
      <c r="GY27" s="21">
        <f t="shared" si="106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40"/>
        <v>1.0000110130274433</v>
      </c>
      <c r="HF27" s="21">
        <f t="shared" si="107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41"/>
        <v>1.0000017099919989</v>
      </c>
      <c r="HM27" s="21">
        <f t="shared" si="108"/>
        <v>1.1299719322396589</v>
      </c>
      <c r="HN27" s="5">
        <v>10</v>
      </c>
      <c r="HO27" s="3">
        <v>1.0000000000000001E-5</v>
      </c>
      <c r="HQ27" s="5">
        <v>11</v>
      </c>
      <c r="HR27" s="41">
        <v>1.1310800000000001</v>
      </c>
      <c r="HS27" s="34">
        <f t="shared" si="142"/>
        <v>1.0000083460172822</v>
      </c>
      <c r="HT27" s="21">
        <f t="shared" si="109"/>
        <v>1.1310894400132276</v>
      </c>
      <c r="HU27" s="5">
        <v>10</v>
      </c>
      <c r="HV27" s="3">
        <v>1.0000000000000001E-5</v>
      </c>
    </row>
    <row r="28" spans="1:230" ht="15.75" x14ac:dyDescent="0.25">
      <c r="A28" s="5">
        <v>12</v>
      </c>
      <c r="B28" s="5">
        <v>1.39595</v>
      </c>
      <c r="C28" s="5">
        <f t="shared" si="77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10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11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12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3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4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5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6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7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8"/>
        <v>1.0000029699967996</v>
      </c>
      <c r="BO28" s="21">
        <f t="shared" si="119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20"/>
        <v>1.0000121680318441</v>
      </c>
      <c r="BV28" s="21">
        <f t="shared" si="87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21"/>
        <v>1.0000072540131217</v>
      </c>
      <c r="CC28" s="21">
        <f t="shared" si="88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22"/>
        <v>1.0000114540291236</v>
      </c>
      <c r="CJ28" s="21">
        <f t="shared" si="89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3"/>
        <v>1.0000017099919989</v>
      </c>
      <c r="CQ28" s="21">
        <f t="shared" si="90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4"/>
        <v>1.0000017099919989</v>
      </c>
      <c r="CX28" s="21">
        <f t="shared" si="91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5"/>
        <v>1.0000012059900787</v>
      </c>
      <c r="DE28" s="21">
        <f t="shared" si="92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6"/>
        <v>1.0000036839995199</v>
      </c>
      <c r="DL28" s="21">
        <f t="shared" si="93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7"/>
        <v>1.0000032219977597</v>
      </c>
      <c r="DS28" s="21">
        <f t="shared" si="94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8"/>
        <v>1.0000051960052807</v>
      </c>
      <c r="DZ28" s="21">
        <f t="shared" si="95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9"/>
        <v>1.0000114120289636</v>
      </c>
      <c r="EG28" s="21">
        <f t="shared" si="96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30"/>
        <v>1.0000063720097612</v>
      </c>
      <c r="EN28" s="21">
        <f t="shared" si="97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31"/>
        <v>1.0000127560340841</v>
      </c>
      <c r="EU28" s="21">
        <f t="shared" si="98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32"/>
        <v>1.0000031589975196</v>
      </c>
      <c r="FB28" s="21">
        <f t="shared" si="99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3"/>
        <v>1.0000045660028802</v>
      </c>
      <c r="FI28" s="21">
        <f t="shared" si="100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4"/>
        <v>1.0000011219897587</v>
      </c>
      <c r="FP28" s="21">
        <f t="shared" si="101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5"/>
        <v>0.99999952598367792</v>
      </c>
      <c r="FW28" s="21">
        <f t="shared" si="102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6"/>
        <v>1.0000018359924789</v>
      </c>
      <c r="GD28" s="21">
        <f t="shared" si="103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7"/>
        <v>1.0000019199927992</v>
      </c>
      <c r="GK28" s="21">
        <f t="shared" si="104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8"/>
        <v>1.0000009329890385</v>
      </c>
      <c r="GR28" s="21">
        <f t="shared" si="105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9"/>
        <v>1.00000420900152</v>
      </c>
      <c r="GY28" s="21">
        <f t="shared" si="106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40"/>
        <v>1.0000110130274433</v>
      </c>
      <c r="HF28" s="21">
        <f t="shared" si="107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41"/>
        <v>1.0000017099919989</v>
      </c>
      <c r="HM28" s="21">
        <f t="shared" si="108"/>
        <v>1.3938323834381476</v>
      </c>
      <c r="HN28" s="5">
        <v>10</v>
      </c>
      <c r="HO28" s="3">
        <v>1.0000000000000001E-5</v>
      </c>
      <c r="HQ28" s="5">
        <v>12</v>
      </c>
      <c r="HR28" s="41">
        <v>1.39489</v>
      </c>
      <c r="HS28" s="34">
        <f t="shared" si="142"/>
        <v>1.0000083460172822</v>
      </c>
      <c r="HT28" s="21">
        <f t="shared" si="109"/>
        <v>1.3949016417760467</v>
      </c>
      <c r="HU28" s="5">
        <v>10</v>
      </c>
      <c r="HV28" s="3">
        <v>1.0000000000000001E-5</v>
      </c>
    </row>
    <row r="29" spans="1:230" ht="15.75" x14ac:dyDescent="0.25">
      <c r="A29" s="5">
        <v>13</v>
      </c>
      <c r="B29" s="5">
        <v>1.5216499999999999</v>
      </c>
      <c r="C29" s="5">
        <f t="shared" si="77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10"/>
        <v>1.0000070020121616</v>
      </c>
      <c r="K29" s="21">
        <f t="shared" ref="K29:K37" si="143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11"/>
        <v>1.0000085980182423</v>
      </c>
      <c r="R29" s="21">
        <f t="shared" ref="R29:R33" si="144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12"/>
        <v>1.0000085980182423</v>
      </c>
      <c r="Y29" s="21">
        <f t="shared" ref="Y29:Y33" si="145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3"/>
        <v>1.0000062460092811</v>
      </c>
      <c r="AF29" s="21">
        <f t="shared" ref="AF29:AF33" si="146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4"/>
        <v>1.0000126300336041</v>
      </c>
      <c r="AM29" s="21">
        <f t="shared" ref="AM29:AM33" si="147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5"/>
        <v>1.0000023819945592</v>
      </c>
      <c r="AT29" s="21">
        <f t="shared" ref="AT29:AT33" si="148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6"/>
        <v>1.0000013739907188</v>
      </c>
      <c r="BA29" s="21">
        <f t="shared" ref="BA29:BA33" si="149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7"/>
        <v>1.0000065820105613</v>
      </c>
      <c r="BH29" s="21">
        <f t="shared" ref="BH29:BH33" si="150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8"/>
        <v>1.0000029699967996</v>
      </c>
      <c r="BO29" s="21">
        <f t="shared" si="119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20"/>
        <v>1.0000121680318441</v>
      </c>
      <c r="BV29" s="21">
        <f t="shared" si="87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21"/>
        <v>1.0000072540131217</v>
      </c>
      <c r="CC29" s="21">
        <f t="shared" si="88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22"/>
        <v>1.0000114540291236</v>
      </c>
      <c r="CJ29" s="21">
        <f t="shared" si="89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3"/>
        <v>1.0000017099919989</v>
      </c>
      <c r="CQ29" s="21">
        <f t="shared" si="90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4"/>
        <v>1.0000017099919989</v>
      </c>
      <c r="CX29" s="21">
        <f t="shared" si="91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5"/>
        <v>1.0000012059900787</v>
      </c>
      <c r="DE29" s="21">
        <f t="shared" si="92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6"/>
        <v>1.0000036839995199</v>
      </c>
      <c r="DL29" s="21">
        <f t="shared" si="93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7"/>
        <v>1.0000032219977597</v>
      </c>
      <c r="DS29" s="21">
        <f t="shared" si="94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8"/>
        <v>1.0000051960052807</v>
      </c>
      <c r="DZ29" s="21">
        <f t="shared" si="95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9"/>
        <v>1.0000114120289636</v>
      </c>
      <c r="EG29" s="21">
        <f t="shared" si="96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30"/>
        <v>1.0000063720097612</v>
      </c>
      <c r="EN29" s="21">
        <f t="shared" si="97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31"/>
        <v>1.0000127560340841</v>
      </c>
      <c r="EU29" s="21">
        <f t="shared" si="98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32"/>
        <v>1.0000031589975196</v>
      </c>
      <c r="FB29" s="21">
        <f t="shared" si="99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3"/>
        <v>1.0000045660028802</v>
      </c>
      <c r="FI29" s="21">
        <f t="shared" si="100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4"/>
        <v>1.0000011219897587</v>
      </c>
      <c r="FP29" s="21">
        <f t="shared" si="101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5"/>
        <v>0.99999952598367792</v>
      </c>
      <c r="FW29" s="21">
        <f t="shared" si="102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6"/>
        <v>1.0000018359924789</v>
      </c>
      <c r="GD29" s="21">
        <f t="shared" si="103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7"/>
        <v>1.0000019199927992</v>
      </c>
      <c r="GK29" s="21">
        <f t="shared" si="104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8"/>
        <v>1.0000009329890385</v>
      </c>
      <c r="GR29" s="21">
        <f t="shared" si="105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9"/>
        <v>1.00000420900152</v>
      </c>
      <c r="GY29" s="21">
        <f t="shared" si="106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40"/>
        <v>1.0000110130274433</v>
      </c>
      <c r="HF29" s="21">
        <f t="shared" si="107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41"/>
        <v>1.0000017099919989</v>
      </c>
      <c r="HM29" s="21">
        <f t="shared" si="108"/>
        <v>1.5196925986577408</v>
      </c>
      <c r="HN29" s="5">
        <v>10</v>
      </c>
      <c r="HO29" s="3">
        <v>1.0000000000000001E-5</v>
      </c>
      <c r="HQ29" s="5">
        <v>13</v>
      </c>
      <c r="HR29" s="41">
        <v>1.52068</v>
      </c>
      <c r="HS29" s="34">
        <f t="shared" si="142"/>
        <v>1.0000083460172822</v>
      </c>
      <c r="HT29" s="21">
        <f t="shared" si="109"/>
        <v>1.5206926916215606</v>
      </c>
      <c r="HU29" s="5">
        <v>10</v>
      </c>
      <c r="HV29" s="3">
        <v>1.0000000000000001E-5</v>
      </c>
    </row>
    <row r="30" spans="1:230" ht="15.75" x14ac:dyDescent="0.25">
      <c r="A30" s="5">
        <v>14</v>
      </c>
      <c r="B30" s="5">
        <v>1.65116</v>
      </c>
      <c r="C30" s="5">
        <f t="shared" si="77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10"/>
        <v>1.0000070020121616</v>
      </c>
      <c r="K30" s="21">
        <f t="shared" si="143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11"/>
        <v>1.0000085980182423</v>
      </c>
      <c r="R30" s="21">
        <f t="shared" si="144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12"/>
        <v>1.0000085980182423</v>
      </c>
      <c r="Y30" s="21">
        <f t="shared" si="145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3"/>
        <v>1.0000062460092811</v>
      </c>
      <c r="AF30" s="21">
        <f t="shared" si="146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4"/>
        <v>1.0000126300336041</v>
      </c>
      <c r="AM30" s="21">
        <f t="shared" si="147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5"/>
        <v>1.0000023819945592</v>
      </c>
      <c r="AT30" s="21">
        <f t="shared" si="148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6"/>
        <v>1.0000013739907188</v>
      </c>
      <c r="BA30" s="21">
        <f t="shared" si="149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7"/>
        <v>1.0000065820105613</v>
      </c>
      <c r="BH30" s="21">
        <f t="shared" si="150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8"/>
        <v>1.0000029699967996</v>
      </c>
      <c r="BO30" s="21">
        <f t="shared" si="119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20"/>
        <v>1.0000121680318441</v>
      </c>
      <c r="BV30" s="21">
        <f t="shared" si="87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21"/>
        <v>1.0000072540131217</v>
      </c>
      <c r="CC30" s="21">
        <f t="shared" si="88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22"/>
        <v>1.0000114540291236</v>
      </c>
      <c r="CJ30" s="21">
        <f t="shared" si="89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3"/>
        <v>1.0000017099919989</v>
      </c>
      <c r="CQ30" s="21">
        <f t="shared" si="90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4"/>
        <v>1.0000017099919989</v>
      </c>
      <c r="CX30" s="21">
        <f t="shared" si="91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5"/>
        <v>1.0000012059900787</v>
      </c>
      <c r="DE30" s="21">
        <f t="shared" si="92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6"/>
        <v>1.0000036839995199</v>
      </c>
      <c r="DL30" s="21">
        <f t="shared" si="93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7"/>
        <v>1.0000032219977597</v>
      </c>
      <c r="DS30" s="21">
        <f t="shared" si="94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8"/>
        <v>1.0000051960052807</v>
      </c>
      <c r="DZ30" s="21">
        <f t="shared" si="95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9"/>
        <v>1.0000114120289636</v>
      </c>
      <c r="EG30" s="21">
        <f t="shared" si="96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30"/>
        <v>1.0000063720097612</v>
      </c>
      <c r="EN30" s="21">
        <f t="shared" si="97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31"/>
        <v>1.0000127560340841</v>
      </c>
      <c r="EU30" s="21">
        <f t="shared" si="98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32"/>
        <v>1.0000031589975196</v>
      </c>
      <c r="FB30" s="21">
        <f t="shared" si="99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3"/>
        <v>1.0000045660028802</v>
      </c>
      <c r="FI30" s="21">
        <f t="shared" si="100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4"/>
        <v>1.0000011219897587</v>
      </c>
      <c r="FP30" s="21">
        <f t="shared" si="101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5"/>
        <v>0.99999952598367792</v>
      </c>
      <c r="FW30" s="21">
        <f t="shared" si="102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6"/>
        <v>1.0000018359924789</v>
      </c>
      <c r="GD30" s="21">
        <f t="shared" si="103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7"/>
        <v>1.0000019199927992</v>
      </c>
      <c r="GK30" s="21">
        <f t="shared" si="104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8"/>
        <v>1.0000009329890385</v>
      </c>
      <c r="GR30" s="21">
        <f t="shared" si="105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9"/>
        <v>1.00000420900152</v>
      </c>
      <c r="GY30" s="21">
        <f t="shared" si="106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40"/>
        <v>1.0000110130274433</v>
      </c>
      <c r="HF30" s="21">
        <f t="shared" si="107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41"/>
        <v>1.0000017099919989</v>
      </c>
      <c r="HM30" s="21">
        <f t="shared" si="108"/>
        <v>1.6494728205805025</v>
      </c>
      <c r="HN30" s="5">
        <v>10</v>
      </c>
      <c r="HO30" s="3">
        <v>0</v>
      </c>
      <c r="HQ30" s="5">
        <v>14</v>
      </c>
      <c r="HR30" s="41">
        <v>1.65045</v>
      </c>
      <c r="HS30" s="34">
        <f t="shared" si="142"/>
        <v>1.0000083460172822</v>
      </c>
      <c r="HT30" s="21">
        <f t="shared" si="109"/>
        <v>1.6504637746842232</v>
      </c>
      <c r="HU30" s="5">
        <v>10</v>
      </c>
      <c r="HV30" s="3">
        <v>1.0000000000000001E-5</v>
      </c>
    </row>
    <row r="31" spans="1:230" ht="15.75" x14ac:dyDescent="0.25">
      <c r="A31" s="5">
        <v>15</v>
      </c>
      <c r="B31" s="5">
        <v>1.8801699999999999</v>
      </c>
      <c r="C31" s="5">
        <f t="shared" si="77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10"/>
        <v>1.0000070020121616</v>
      </c>
      <c r="K31" s="21">
        <f t="shared" si="143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11"/>
        <v>1.0000085980182423</v>
      </c>
      <c r="R31" s="21">
        <f t="shared" si="144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12"/>
        <v>1.0000085980182423</v>
      </c>
      <c r="Y31" s="21">
        <f t="shared" si="145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3"/>
        <v>1.0000062460092811</v>
      </c>
      <c r="AF31" s="21">
        <f t="shared" si="146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4"/>
        <v>1.0000126300336041</v>
      </c>
      <c r="AM31" s="21">
        <f t="shared" si="147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5"/>
        <v>1.0000023819945592</v>
      </c>
      <c r="AT31" s="21">
        <f t="shared" si="148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6"/>
        <v>1.0000013739907188</v>
      </c>
      <c r="BA31" s="21">
        <f t="shared" si="149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7"/>
        <v>1.0000065820105613</v>
      </c>
      <c r="BH31" s="21">
        <f t="shared" si="150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8"/>
        <v>1.0000029699967996</v>
      </c>
      <c r="BO31" s="21">
        <f t="shared" si="119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20"/>
        <v>1.0000121680318441</v>
      </c>
      <c r="BV31" s="21">
        <f t="shared" si="87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21"/>
        <v>1.0000072540131217</v>
      </c>
      <c r="CC31" s="21">
        <f t="shared" si="88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22"/>
        <v>1.0000114540291236</v>
      </c>
      <c r="CJ31" s="21">
        <f t="shared" si="89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3"/>
        <v>1.0000017099919989</v>
      </c>
      <c r="CQ31" s="21">
        <f t="shared" si="90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4"/>
        <v>1.0000017099919989</v>
      </c>
      <c r="CX31" s="21">
        <f t="shared" si="91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5"/>
        <v>1.0000012059900787</v>
      </c>
      <c r="DE31" s="21">
        <f t="shared" si="92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6"/>
        <v>1.0000036839995199</v>
      </c>
      <c r="DL31" s="21">
        <f t="shared" si="93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7"/>
        <v>1.0000032219977597</v>
      </c>
      <c r="DS31" s="21">
        <f t="shared" si="94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8"/>
        <v>1.0000051960052807</v>
      </c>
      <c r="DZ31" s="21">
        <f t="shared" si="95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9"/>
        <v>1.0000114120289636</v>
      </c>
      <c r="EG31" s="21">
        <f t="shared" si="96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30"/>
        <v>1.0000063720097612</v>
      </c>
      <c r="EN31" s="21">
        <f t="shared" si="97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31"/>
        <v>1.0000127560340841</v>
      </c>
      <c r="EU31" s="21">
        <f t="shared" si="98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32"/>
        <v>1.0000031589975196</v>
      </c>
      <c r="FB31" s="21">
        <f t="shared" si="99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3"/>
        <v>1.0000045660028802</v>
      </c>
      <c r="FI31" s="21">
        <f t="shared" si="100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4"/>
        <v>1.0000011219897587</v>
      </c>
      <c r="FP31" s="21">
        <f t="shared" si="101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5"/>
        <v>0.99999952598367792</v>
      </c>
      <c r="FW31" s="21">
        <f t="shared" si="102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6"/>
        <v>1.0000018359924789</v>
      </c>
      <c r="GD31" s="21">
        <f t="shared" si="103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7"/>
        <v>1.0000019199927992</v>
      </c>
      <c r="GK31" s="21">
        <f t="shared" si="104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8"/>
        <v>1.0000009329890385</v>
      </c>
      <c r="GR31" s="21">
        <f t="shared" si="105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9"/>
        <v>1.00000420900152</v>
      </c>
      <c r="GY31" s="21">
        <f t="shared" si="106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40"/>
        <v>1.0000110130274433</v>
      </c>
      <c r="HF31" s="21">
        <f t="shared" si="107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41"/>
        <v>1.0000017099919989</v>
      </c>
      <c r="HM31" s="21">
        <f t="shared" si="108"/>
        <v>1.877883211159775</v>
      </c>
      <c r="HN31" s="5">
        <v>10</v>
      </c>
      <c r="HO31" s="3">
        <v>1.0000000000000001E-5</v>
      </c>
      <c r="HQ31" s="5">
        <v>15</v>
      </c>
      <c r="HR31" s="41">
        <v>1.8789</v>
      </c>
      <c r="HS31" s="34">
        <f t="shared" si="142"/>
        <v>1.0000083460172822</v>
      </c>
      <c r="HT31" s="21">
        <f t="shared" si="109"/>
        <v>1.8789156813318715</v>
      </c>
      <c r="HU31" s="5">
        <v>10</v>
      </c>
      <c r="HV31" s="3">
        <v>1.0000000000000001E-5</v>
      </c>
    </row>
    <row r="32" spans="1:230" ht="15.75" x14ac:dyDescent="0.25">
      <c r="A32" s="5">
        <v>16</v>
      </c>
      <c r="B32" s="5">
        <v>2.0623300000000002</v>
      </c>
      <c r="C32" s="5">
        <f t="shared" si="77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10"/>
        <v>1.0000070020121616</v>
      </c>
      <c r="K32" s="21">
        <f t="shared" si="143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11"/>
        <v>1.0000085980182423</v>
      </c>
      <c r="R32" s="21">
        <f t="shared" si="144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12"/>
        <v>1.0000085980182423</v>
      </c>
      <c r="Y32" s="21">
        <f t="shared" si="145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3"/>
        <v>1.0000062460092811</v>
      </c>
      <c r="AF32" s="21">
        <f t="shared" si="146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4"/>
        <v>1.0000126300336041</v>
      </c>
      <c r="AM32" s="21">
        <f t="shared" si="147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5"/>
        <v>1.0000023819945592</v>
      </c>
      <c r="AT32" s="21">
        <f t="shared" si="148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6"/>
        <v>1.0000013739907188</v>
      </c>
      <c r="BA32" s="21">
        <f t="shared" si="149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7"/>
        <v>1.0000065820105613</v>
      </c>
      <c r="BH32" s="21">
        <f t="shared" si="150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8"/>
        <v>1.0000029699967996</v>
      </c>
      <c r="BO32" s="21">
        <f t="shared" si="119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20"/>
        <v>1.0000121680318441</v>
      </c>
      <c r="BV32" s="21">
        <f t="shared" si="87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21"/>
        <v>1.0000072540131217</v>
      </c>
      <c r="CC32" s="21">
        <f t="shared" si="88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22"/>
        <v>1.0000114540291236</v>
      </c>
      <c r="CJ32" s="21">
        <f t="shared" si="89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3"/>
        <v>1.0000017099919989</v>
      </c>
      <c r="CQ32" s="21">
        <f t="shared" si="90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4"/>
        <v>1.0000017099919989</v>
      </c>
      <c r="CX32" s="21">
        <f t="shared" si="91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5"/>
        <v>1.0000012059900787</v>
      </c>
      <c r="DE32" s="21">
        <f t="shared" si="92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6"/>
        <v>1.0000036839995199</v>
      </c>
      <c r="DL32" s="21">
        <f t="shared" si="93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7"/>
        <v>1.0000032219977597</v>
      </c>
      <c r="DS32" s="21">
        <f t="shared" si="94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8"/>
        <v>1.0000051960052807</v>
      </c>
      <c r="DZ32" s="21">
        <f t="shared" si="95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9"/>
        <v>1.0000114120289636</v>
      </c>
      <c r="EG32" s="21">
        <f t="shared" si="96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30"/>
        <v>1.0000063720097612</v>
      </c>
      <c r="EN32" s="21">
        <f t="shared" si="97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31"/>
        <v>1.0000127560340841</v>
      </c>
      <c r="EU32" s="21">
        <f t="shared" si="98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32"/>
        <v>1.0000031589975196</v>
      </c>
      <c r="FB32" s="21">
        <f t="shared" si="99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3"/>
        <v>1.0000045660028802</v>
      </c>
      <c r="FI32" s="21">
        <f t="shared" si="100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4"/>
        <v>1.0000011219897587</v>
      </c>
      <c r="FP32" s="21">
        <f t="shared" si="101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5"/>
        <v>0.99999952598367792</v>
      </c>
      <c r="FW32" s="21">
        <f t="shared" si="102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6"/>
        <v>1.0000018359924789</v>
      </c>
      <c r="GD32" s="21">
        <f t="shared" si="103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7"/>
        <v>1.0000019199927992</v>
      </c>
      <c r="GK32" s="21">
        <f t="shared" si="104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8"/>
        <v>1.0000009329890385</v>
      </c>
      <c r="GR32" s="21">
        <f t="shared" si="105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9"/>
        <v>1.00000420900152</v>
      </c>
      <c r="GY32" s="21">
        <f t="shared" si="106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40"/>
        <v>1.0000110130274433</v>
      </c>
      <c r="HF32" s="21">
        <f t="shared" si="107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41"/>
        <v>1.0000017099919989</v>
      </c>
      <c r="HM32" s="21">
        <f t="shared" si="108"/>
        <v>2.0603235231307151</v>
      </c>
      <c r="HN32" s="5">
        <v>10</v>
      </c>
      <c r="HO32" s="3">
        <v>1.0000000000000001E-5</v>
      </c>
      <c r="HQ32" s="5">
        <v>16</v>
      </c>
      <c r="HR32" s="41">
        <v>2.0613199999999998</v>
      </c>
      <c r="HS32" s="34">
        <f t="shared" si="142"/>
        <v>1.0000083460172822</v>
      </c>
      <c r="HT32" s="21">
        <f t="shared" si="109"/>
        <v>2.0613372038123439</v>
      </c>
      <c r="HU32" s="5">
        <v>10</v>
      </c>
      <c r="HV32" s="3">
        <v>1.0000000000000001E-5</v>
      </c>
    </row>
    <row r="33" spans="1:230" ht="15.75" x14ac:dyDescent="0.25">
      <c r="A33" s="5">
        <v>17</v>
      </c>
      <c r="B33" s="5">
        <v>2.21428</v>
      </c>
      <c r="C33" s="5">
        <f t="shared" si="77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10"/>
        <v>1.0000070020121616</v>
      </c>
      <c r="K33" s="21">
        <f t="shared" si="143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11"/>
        <v>1.0000085980182423</v>
      </c>
      <c r="R33" s="21">
        <f t="shared" si="144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12"/>
        <v>1.0000085980182423</v>
      </c>
      <c r="Y33" s="21">
        <f t="shared" si="145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3"/>
        <v>1.0000062460092811</v>
      </c>
      <c r="AF33" s="21">
        <f t="shared" si="146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4"/>
        <v>1.0000126300336041</v>
      </c>
      <c r="AM33" s="21">
        <f t="shared" si="147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5"/>
        <v>1.0000023819945592</v>
      </c>
      <c r="AT33" s="21">
        <f t="shared" si="148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6"/>
        <v>1.0000013739907188</v>
      </c>
      <c r="BA33" s="21">
        <f t="shared" si="149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7"/>
        <v>1.0000065820105613</v>
      </c>
      <c r="BH33" s="21">
        <f t="shared" si="150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8"/>
        <v>1.0000029699967996</v>
      </c>
      <c r="BO33" s="21">
        <f t="shared" si="119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20"/>
        <v>1.0000121680318441</v>
      </c>
      <c r="BV33" s="21">
        <f t="shared" si="87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21"/>
        <v>1.0000072540131217</v>
      </c>
      <c r="CC33" s="21">
        <f t="shared" si="88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22"/>
        <v>1.0000114540291236</v>
      </c>
      <c r="CJ33" s="21">
        <f t="shared" si="89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3"/>
        <v>1.0000017099919989</v>
      </c>
      <c r="CQ33" s="21">
        <f t="shared" si="90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4"/>
        <v>1.0000017099919989</v>
      </c>
      <c r="CX33" s="21">
        <f t="shared" si="91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5"/>
        <v>1.0000012059900787</v>
      </c>
      <c r="DE33" s="21">
        <f t="shared" si="92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6"/>
        <v>1.0000036839995199</v>
      </c>
      <c r="DL33" s="21">
        <f t="shared" si="93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7"/>
        <v>1.0000032219977597</v>
      </c>
      <c r="DS33" s="21">
        <f t="shared" si="94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8"/>
        <v>1.0000051960052807</v>
      </c>
      <c r="DZ33" s="21">
        <f t="shared" si="95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9"/>
        <v>1.0000114120289636</v>
      </c>
      <c r="EG33" s="21">
        <f t="shared" si="96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30"/>
        <v>1.0000063720097612</v>
      </c>
      <c r="EN33" s="21">
        <f t="shared" si="97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31"/>
        <v>1.0000127560340841</v>
      </c>
      <c r="EU33" s="21">
        <f t="shared" si="98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32"/>
        <v>1.0000031589975196</v>
      </c>
      <c r="FB33" s="21">
        <f t="shared" si="99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3"/>
        <v>1.0000045660028802</v>
      </c>
      <c r="FI33" s="21">
        <f t="shared" si="100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4"/>
        <v>1.0000011219897587</v>
      </c>
      <c r="FP33" s="21">
        <f t="shared" si="101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5"/>
        <v>0.99999952598367792</v>
      </c>
      <c r="FW33" s="21">
        <f t="shared" si="102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6"/>
        <v>1.0000018359924789</v>
      </c>
      <c r="GD33" s="21">
        <f t="shared" si="103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7"/>
        <v>1.0000019199927992</v>
      </c>
      <c r="GK33" s="21">
        <f t="shared" si="104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8"/>
        <v>1.0000009329890385</v>
      </c>
      <c r="GR33" s="21">
        <f t="shared" si="105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9"/>
        <v>1.00000420900152</v>
      </c>
      <c r="GY33" s="21">
        <f t="shared" si="106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40"/>
        <v>1.0000110130274433</v>
      </c>
      <c r="HF33" s="21">
        <f t="shared" si="107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41"/>
        <v>1.0000017099919989</v>
      </c>
      <c r="HM33" s="21">
        <f t="shared" si="108"/>
        <v>2.2121337827246008</v>
      </c>
      <c r="HN33" s="5">
        <v>10</v>
      </c>
      <c r="HO33" s="3">
        <v>1.0000000000000001E-5</v>
      </c>
      <c r="HQ33" s="5">
        <v>17</v>
      </c>
      <c r="HR33" s="41">
        <v>2.2131500000000002</v>
      </c>
      <c r="HS33" s="34">
        <f t="shared" si="142"/>
        <v>1.0000083460172822</v>
      </c>
      <c r="HT33" s="21">
        <f t="shared" si="109"/>
        <v>2.2131684709881481</v>
      </c>
      <c r="HU33" s="5">
        <v>10</v>
      </c>
      <c r="HV33" s="3">
        <v>1.0000000000000001E-5</v>
      </c>
    </row>
    <row r="34" spans="1:230" ht="15.75" x14ac:dyDescent="0.25">
      <c r="A34" s="5">
        <v>18</v>
      </c>
      <c r="B34" s="5">
        <v>2.3665699999999998</v>
      </c>
      <c r="C34" s="5">
        <f t="shared" si="77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10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11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12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3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4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5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6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7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8"/>
        <v>1.0000029699967996</v>
      </c>
      <c r="BO34" s="21">
        <f t="shared" si="119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20"/>
        <v>1.0000121680318441</v>
      </c>
      <c r="BV34" s="21">
        <f t="shared" si="87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21"/>
        <v>1.0000072540131217</v>
      </c>
      <c r="CC34" s="21">
        <f t="shared" si="88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22"/>
        <v>1.0000114540291236</v>
      </c>
      <c r="CJ34" s="21">
        <f t="shared" si="89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3"/>
        <v>1.0000017099919989</v>
      </c>
      <c r="CQ34" s="21">
        <f t="shared" si="90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4"/>
        <v>1.0000017099919989</v>
      </c>
      <c r="CX34" s="21">
        <f t="shared" si="91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5"/>
        <v>1.0000012059900787</v>
      </c>
      <c r="DE34" s="21">
        <f t="shared" si="92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6"/>
        <v>1.0000036839995199</v>
      </c>
      <c r="DL34" s="21">
        <f t="shared" si="93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7"/>
        <v>1.0000032219977597</v>
      </c>
      <c r="DS34" s="21">
        <f t="shared" si="94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8"/>
        <v>1.0000051960052807</v>
      </c>
      <c r="DZ34" s="21">
        <f t="shared" si="95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9"/>
        <v>1.0000114120289636</v>
      </c>
      <c r="EG34" s="21">
        <f t="shared" si="96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30"/>
        <v>1.0000063720097612</v>
      </c>
      <c r="EN34" s="21">
        <f t="shared" si="97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31"/>
        <v>1.0000127560340841</v>
      </c>
      <c r="EU34" s="21">
        <f t="shared" si="98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32"/>
        <v>1.0000031589975196</v>
      </c>
      <c r="FB34" s="21">
        <f t="shared" si="99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3"/>
        <v>1.0000045660028802</v>
      </c>
      <c r="FI34" s="21">
        <f t="shared" si="100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4"/>
        <v>1.0000011219897587</v>
      </c>
      <c r="FP34" s="21">
        <f t="shared" si="101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5"/>
        <v>0.99999952598367792</v>
      </c>
      <c r="FW34" s="21">
        <f t="shared" si="102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6"/>
        <v>1.0000018359924789</v>
      </c>
      <c r="GD34" s="21">
        <f t="shared" si="103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7"/>
        <v>1.0000019199927992</v>
      </c>
      <c r="GK34" s="21">
        <f t="shared" si="104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8"/>
        <v>1.0000009329890385</v>
      </c>
      <c r="GR34" s="21">
        <f t="shared" si="105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9"/>
        <v>1.00000420900152</v>
      </c>
      <c r="GY34" s="21">
        <f t="shared" si="106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40"/>
        <v>1.0000110130274433</v>
      </c>
      <c r="HF34" s="21">
        <f t="shared" si="107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41"/>
        <v>1.0000017099919989</v>
      </c>
      <c r="HM34" s="21">
        <f t="shared" si="108"/>
        <v>2.3653640447466744</v>
      </c>
      <c r="HN34" s="5">
        <v>10</v>
      </c>
      <c r="HO34" s="3">
        <v>2.0000000000000002E-5</v>
      </c>
      <c r="HQ34" s="5">
        <v>18</v>
      </c>
      <c r="HR34" s="41">
        <v>2.3663799999999999</v>
      </c>
      <c r="HS34" s="34">
        <f t="shared" si="142"/>
        <v>1.0000083460172822</v>
      </c>
      <c r="HT34" s="21">
        <f t="shared" si="109"/>
        <v>2.3663997498483762</v>
      </c>
      <c r="HU34" s="5">
        <v>10</v>
      </c>
      <c r="HV34" s="3">
        <v>1.0000000000000001E-5</v>
      </c>
    </row>
    <row r="35" spans="1:230" ht="15.75" x14ac:dyDescent="0.25">
      <c r="A35" s="5">
        <v>19</v>
      </c>
      <c r="B35" s="5">
        <v>2.5247199999999999</v>
      </c>
      <c r="C35" s="5">
        <f t="shared" si="77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10"/>
        <v>1.0000070020121616</v>
      </c>
      <c r="K35" s="21">
        <f t="shared" si="143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11"/>
        <v>1.0000085980182423</v>
      </c>
      <c r="R35" s="21">
        <f t="shared" ref="R35:R37" si="151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12"/>
        <v>1.0000085980182423</v>
      </c>
      <c r="Y35" s="21">
        <f t="shared" ref="Y35:Y37" si="152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3"/>
        <v>1.0000062460092811</v>
      </c>
      <c r="AF35" s="21">
        <f t="shared" ref="AF35:AF37" si="153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4"/>
        <v>1.0000126300336041</v>
      </c>
      <c r="AM35" s="21">
        <f t="shared" ref="AM35:AM37" si="154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5"/>
        <v>1.0000023819945592</v>
      </c>
      <c r="AT35" s="21">
        <f t="shared" ref="AT35:AT37" si="155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6"/>
        <v>1.0000013739907188</v>
      </c>
      <c r="BA35" s="21">
        <f t="shared" ref="BA35:BA37" si="156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7"/>
        <v>1.0000065820105613</v>
      </c>
      <c r="BH35" s="21">
        <f t="shared" ref="BH35:BH37" si="157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8"/>
        <v>1.0000029699967996</v>
      </c>
      <c r="BO35" s="21">
        <f t="shared" si="119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20"/>
        <v>1.0000121680318441</v>
      </c>
      <c r="BV35" s="21">
        <f t="shared" si="87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21"/>
        <v>1.0000072540131217</v>
      </c>
      <c r="CC35" s="21">
        <f t="shared" si="88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22"/>
        <v>1.0000114540291236</v>
      </c>
      <c r="CJ35" s="21">
        <f t="shared" si="89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3"/>
        <v>1.0000017099919989</v>
      </c>
      <c r="CQ35" s="21">
        <f t="shared" si="90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4"/>
        <v>1.0000017099919989</v>
      </c>
      <c r="CX35" s="21">
        <f t="shared" si="91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5"/>
        <v>1.0000012059900787</v>
      </c>
      <c r="DE35" s="21">
        <f t="shared" si="92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6"/>
        <v>1.0000036839995199</v>
      </c>
      <c r="DL35" s="21">
        <f t="shared" si="93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7"/>
        <v>1.0000032219977597</v>
      </c>
      <c r="DS35" s="21">
        <f t="shared" si="94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8"/>
        <v>1.0000051960052807</v>
      </c>
      <c r="DZ35" s="21">
        <f t="shared" si="95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9"/>
        <v>1.0000114120289636</v>
      </c>
      <c r="EG35" s="21">
        <f t="shared" si="96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30"/>
        <v>1.0000063720097612</v>
      </c>
      <c r="EN35" s="21">
        <f t="shared" si="97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31"/>
        <v>1.0000127560340841</v>
      </c>
      <c r="EU35" s="21">
        <f t="shared" si="98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32"/>
        <v>1.0000031589975196</v>
      </c>
      <c r="FB35" s="21">
        <f t="shared" si="99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3"/>
        <v>1.0000045660028802</v>
      </c>
      <c r="FI35" s="21">
        <f t="shared" si="100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4"/>
        <v>1.0000011219897587</v>
      </c>
      <c r="FP35" s="21">
        <f t="shared" si="101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5"/>
        <v>0.99999952598367792</v>
      </c>
      <c r="FW35" s="21">
        <f t="shared" si="102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6"/>
        <v>1.0000018359924789</v>
      </c>
      <c r="GD35" s="21">
        <f t="shared" si="103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7"/>
        <v>1.0000019199927992</v>
      </c>
      <c r="GK35" s="21">
        <f t="shared" si="104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8"/>
        <v>1.0000009329890385</v>
      </c>
      <c r="GR35" s="21">
        <f t="shared" si="105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9"/>
        <v>1.00000420900152</v>
      </c>
      <c r="GY35" s="21">
        <f t="shared" si="106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40"/>
        <v>1.0000110130274433</v>
      </c>
      <c r="HF35" s="21">
        <f t="shared" si="107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41"/>
        <v>1.0000017099919989</v>
      </c>
      <c r="HM35" s="21">
        <f t="shared" si="108"/>
        <v>2.5224343133351179</v>
      </c>
      <c r="HN35" s="5">
        <v>10</v>
      </c>
      <c r="HO35" s="3">
        <v>2.0000000000000002E-5</v>
      </c>
      <c r="HQ35" s="5">
        <v>19</v>
      </c>
      <c r="HR35" s="41">
        <v>2.5235400000000001</v>
      </c>
      <c r="HS35" s="34">
        <f t="shared" si="142"/>
        <v>1.0000083460172822</v>
      </c>
      <c r="HT35" s="21">
        <f t="shared" si="109"/>
        <v>2.5235610615084525</v>
      </c>
      <c r="HU35" s="5">
        <v>10</v>
      </c>
      <c r="HV35" s="3">
        <v>0</v>
      </c>
    </row>
    <row r="36" spans="1:230" ht="15.75" x14ac:dyDescent="0.25">
      <c r="A36" s="5">
        <v>20</v>
      </c>
      <c r="B36" s="5">
        <v>2.67333</v>
      </c>
      <c r="C36" s="5">
        <f t="shared" si="77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10"/>
        <v>1.0000070020121616</v>
      </c>
      <c r="K36" s="21">
        <f t="shared" si="143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11"/>
        <v>1.0000085980182423</v>
      </c>
      <c r="R36" s="21">
        <f t="shared" si="151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12"/>
        <v>1.0000085980182423</v>
      </c>
      <c r="Y36" s="21">
        <f t="shared" si="152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3"/>
        <v>1.0000062460092811</v>
      </c>
      <c r="AF36" s="21">
        <f t="shared" si="153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4"/>
        <v>1.0000126300336041</v>
      </c>
      <c r="AM36" s="21">
        <f t="shared" si="154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5"/>
        <v>1.0000023819945592</v>
      </c>
      <c r="AT36" s="21">
        <f t="shared" si="155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6"/>
        <v>1.0000013739907188</v>
      </c>
      <c r="BA36" s="21">
        <f t="shared" si="156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7"/>
        <v>1.0000065820105613</v>
      </c>
      <c r="BH36" s="21">
        <f t="shared" si="157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8"/>
        <v>1.0000029699967996</v>
      </c>
      <c r="BO36" s="21">
        <f t="shared" si="119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20"/>
        <v>1.0000121680318441</v>
      </c>
      <c r="BV36" s="21">
        <f t="shared" si="87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21"/>
        <v>1.0000072540131217</v>
      </c>
      <c r="CC36" s="21">
        <f t="shared" si="88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22"/>
        <v>1.0000114540291236</v>
      </c>
      <c r="CJ36" s="21">
        <f t="shared" si="89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3"/>
        <v>1.0000017099919989</v>
      </c>
      <c r="CQ36" s="21">
        <f t="shared" si="90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4"/>
        <v>1.0000017099919989</v>
      </c>
      <c r="CX36" s="21">
        <f t="shared" si="91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5"/>
        <v>1.0000012059900787</v>
      </c>
      <c r="DE36" s="21">
        <f t="shared" si="92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6"/>
        <v>1.0000036839995199</v>
      </c>
      <c r="DL36" s="21">
        <f t="shared" si="93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7"/>
        <v>1.0000032219977597</v>
      </c>
      <c r="DS36" s="21">
        <f t="shared" si="94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8"/>
        <v>1.0000051960052807</v>
      </c>
      <c r="DZ36" s="21">
        <f t="shared" si="95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9"/>
        <v>1.0000114120289636</v>
      </c>
      <c r="EG36" s="21">
        <f t="shared" si="96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30"/>
        <v>1.0000063720097612</v>
      </c>
      <c r="EN36" s="21">
        <f t="shared" si="97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31"/>
        <v>1.0000127560340841</v>
      </c>
      <c r="EU36" s="21">
        <f t="shared" si="98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32"/>
        <v>1.0000031589975196</v>
      </c>
      <c r="FB36" s="21">
        <f t="shared" si="99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3"/>
        <v>1.0000045660028802</v>
      </c>
      <c r="FI36" s="21">
        <f t="shared" si="100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4"/>
        <v>1.0000011219897587</v>
      </c>
      <c r="FP36" s="21">
        <f t="shared" si="101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5"/>
        <v>0.99999952598367792</v>
      </c>
      <c r="FW36" s="21">
        <f t="shared" si="102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6"/>
        <v>1.0000018359924789</v>
      </c>
      <c r="GD36" s="21">
        <f t="shared" si="103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7"/>
        <v>1.0000019199927992</v>
      </c>
      <c r="GK36" s="21">
        <f t="shared" si="104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8"/>
        <v>1.0000009329890385</v>
      </c>
      <c r="GR36" s="21">
        <f t="shared" si="105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9"/>
        <v>1.00000420900152</v>
      </c>
      <c r="GY36" s="21">
        <f t="shared" si="106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40"/>
        <v>1.0000110130274433</v>
      </c>
      <c r="HF36" s="21">
        <f t="shared" si="107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41"/>
        <v>1.0000017099919989</v>
      </c>
      <c r="HM36" s="21">
        <f t="shared" si="108"/>
        <v>2.6710245674228288</v>
      </c>
      <c r="HN36" s="5">
        <v>10</v>
      </c>
      <c r="HO36" s="3">
        <v>2.0000000000000002E-5</v>
      </c>
      <c r="HQ36" s="5">
        <v>20</v>
      </c>
      <c r="HR36" s="41">
        <v>2.6721400000000002</v>
      </c>
      <c r="HS36" s="34">
        <f t="shared" si="142"/>
        <v>1.0000083460172822</v>
      </c>
      <c r="HT36" s="21">
        <f t="shared" si="109"/>
        <v>2.6721623017266207</v>
      </c>
      <c r="HU36" s="5">
        <v>10</v>
      </c>
      <c r="HV36" s="3">
        <v>1.0000000000000001E-5</v>
      </c>
    </row>
    <row r="37" spans="1:230" ht="15.75" x14ac:dyDescent="0.25">
      <c r="A37" s="5">
        <v>21</v>
      </c>
      <c r="B37" s="5">
        <v>2.8830399999999998</v>
      </c>
      <c r="C37" s="5">
        <f t="shared" si="77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10"/>
        <v>1.0000070020121616</v>
      </c>
      <c r="K37" s="21">
        <f t="shared" si="143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11"/>
        <v>1.0000085980182423</v>
      </c>
      <c r="R37" s="21">
        <f t="shared" si="151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12"/>
        <v>1.0000085980182423</v>
      </c>
      <c r="Y37" s="21">
        <f t="shared" si="152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3"/>
        <v>1.0000062460092811</v>
      </c>
      <c r="AF37" s="21">
        <f t="shared" si="153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4"/>
        <v>1.0000126300336041</v>
      </c>
      <c r="AM37" s="21">
        <f t="shared" si="154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5"/>
        <v>1.0000023819945592</v>
      </c>
      <c r="AT37" s="21">
        <f t="shared" si="155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6"/>
        <v>1.0000013739907188</v>
      </c>
      <c r="BA37" s="21">
        <f t="shared" si="156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7"/>
        <v>1.0000065820105613</v>
      </c>
      <c r="BH37" s="21">
        <f t="shared" si="157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8"/>
        <v>1.0000029699967996</v>
      </c>
      <c r="BO37" s="21">
        <f t="shared" si="119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20"/>
        <v>1.0000121680318441</v>
      </c>
      <c r="BV37" s="21">
        <f t="shared" si="87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21"/>
        <v>1.0000072540131217</v>
      </c>
      <c r="CC37" s="21">
        <f t="shared" si="88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22"/>
        <v>1.0000114540291236</v>
      </c>
      <c r="CJ37" s="21">
        <f t="shared" si="89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3"/>
        <v>1.0000017099919989</v>
      </c>
      <c r="CQ37" s="21">
        <f t="shared" si="90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4"/>
        <v>1.0000017099919989</v>
      </c>
      <c r="CX37" s="21">
        <f t="shared" si="91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5"/>
        <v>1.0000012059900787</v>
      </c>
      <c r="DE37" s="21">
        <f t="shared" si="92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6"/>
        <v>1.0000036839995199</v>
      </c>
      <c r="DL37" s="21">
        <f t="shared" si="93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7"/>
        <v>1.0000032219977597</v>
      </c>
      <c r="DS37" s="21">
        <f t="shared" si="94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8"/>
        <v>1.0000051960052807</v>
      </c>
      <c r="DZ37" s="21">
        <f t="shared" si="95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9"/>
        <v>1.0000114120289636</v>
      </c>
      <c r="EG37" s="21">
        <f t="shared" si="96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30"/>
        <v>1.0000063720097612</v>
      </c>
      <c r="EN37" s="21">
        <f t="shared" si="97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31"/>
        <v>1.0000127560340841</v>
      </c>
      <c r="EU37" s="21">
        <f t="shared" si="98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32"/>
        <v>1.0000031589975196</v>
      </c>
      <c r="FB37" s="21">
        <f t="shared" si="99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100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4"/>
        <v>1.0000011219897587</v>
      </c>
      <c r="FP37" s="21">
        <f t="shared" si="101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5"/>
        <v>0.99999952598367792</v>
      </c>
      <c r="FW37" s="21">
        <f t="shared" si="102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6"/>
        <v>1.0000018359924789</v>
      </c>
      <c r="GD37" s="21">
        <f t="shared" si="103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7"/>
        <v>1.0000019199927992</v>
      </c>
      <c r="GK37" s="21">
        <f t="shared" si="104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8"/>
        <v>1.0000009329890385</v>
      </c>
      <c r="GR37" s="21">
        <f t="shared" si="105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9"/>
        <v>1.00000420900152</v>
      </c>
      <c r="GY37" s="21">
        <f t="shared" si="106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40"/>
        <v>1.0000110130274433</v>
      </c>
      <c r="HF37" s="21">
        <f t="shared" si="107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41"/>
        <v>1.0000017099919989</v>
      </c>
      <c r="HM37" s="21">
        <f t="shared" si="108"/>
        <v>2.8806649259055517</v>
      </c>
      <c r="HN37" s="5">
        <v>10</v>
      </c>
      <c r="HO37" s="3">
        <v>2.0000000000000002E-5</v>
      </c>
      <c r="HQ37" s="5">
        <v>21</v>
      </c>
      <c r="HR37" s="41">
        <v>2.8817499999999998</v>
      </c>
      <c r="HS37" s="34">
        <f t="shared" si="142"/>
        <v>1.0000083460172822</v>
      </c>
      <c r="HT37" s="21">
        <f t="shared" si="109"/>
        <v>2.8817740511353027</v>
      </c>
      <c r="HU37" s="5">
        <v>10</v>
      </c>
      <c r="HV37" s="3">
        <v>0</v>
      </c>
    </row>
    <row r="39" spans="1:230" x14ac:dyDescent="0.2">
      <c r="K39" s="15"/>
      <c r="CH39" s="15"/>
    </row>
    <row r="40" spans="1:230" x14ac:dyDescent="0.2">
      <c r="CH40" s="15"/>
    </row>
    <row r="41" spans="1:230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195E2-4A72-4921-BA9C-22BEC77E5CFC}">
  <sheetPr codeName="Sheet15"/>
  <dimension ref="B2:G37"/>
  <sheetViews>
    <sheetView zoomScale="80" zoomScaleNormal="80" workbookViewId="0">
      <selection activeCell="H19" sqref="H19"/>
    </sheetView>
  </sheetViews>
  <sheetFormatPr defaultRowHeight="15" x14ac:dyDescent="0.2"/>
  <cols>
    <col min="1" max="1" width="3" customWidth="1"/>
  </cols>
  <sheetData>
    <row r="2" spans="2:7" x14ac:dyDescent="0.2">
      <c r="D2" s="20">
        <v>44461</v>
      </c>
      <c r="E2" t="s">
        <v>145</v>
      </c>
    </row>
    <row r="3" spans="2:7" x14ac:dyDescent="0.2">
      <c r="E3" t="s">
        <v>419</v>
      </c>
    </row>
    <row r="4" spans="2:7" ht="15.75" x14ac:dyDescent="0.25">
      <c r="B4" s="2" t="s">
        <v>0</v>
      </c>
      <c r="C4" s="2" t="s">
        <v>1</v>
      </c>
      <c r="D4" s="3" t="s">
        <v>2</v>
      </c>
      <c r="E4" s="7" t="s">
        <v>4</v>
      </c>
      <c r="F4" s="5" t="s">
        <v>5</v>
      </c>
      <c r="G4" s="3" t="s">
        <v>6</v>
      </c>
    </row>
    <row r="5" spans="2:7" ht="15.75" x14ac:dyDescent="0.25">
      <c r="B5" s="5"/>
      <c r="C5" s="5"/>
      <c r="D5" s="43">
        <f>(28+27.8)/2</f>
        <v>27.9</v>
      </c>
      <c r="E5" s="8" t="s">
        <v>3</v>
      </c>
      <c r="F5" s="5"/>
      <c r="G5" s="3"/>
    </row>
    <row r="6" spans="2:7" ht="15.75" x14ac:dyDescent="0.25">
      <c r="B6" s="5">
        <v>1</v>
      </c>
      <c r="C6" s="41">
        <v>7.2020000000000001E-2</v>
      </c>
      <c r="D6" s="34">
        <f>1.00000381*(1+0.00000084*($D$5-19.8))</f>
        <v>1.0000106140259233</v>
      </c>
      <c r="E6" s="21">
        <f>C6*D6</f>
        <v>7.2020764422146999E-2</v>
      </c>
      <c r="F6" s="5">
        <v>10</v>
      </c>
      <c r="G6" s="3">
        <v>1.0000000000000001E-5</v>
      </c>
    </row>
    <row r="7" spans="2:7" ht="15.75" x14ac:dyDescent="0.25">
      <c r="B7" s="5">
        <v>2</v>
      </c>
      <c r="C7" s="41">
        <v>0.16303000000000001</v>
      </c>
      <c r="D7" s="34">
        <f t="shared" ref="D7:D20" si="0">1.00000381*(1+0.00000084*($D$5-19.8))</f>
        <v>1.0000106140259233</v>
      </c>
      <c r="E7" s="21">
        <f t="shared" ref="E7:E20" si="1">C7*D7</f>
        <v>0.16303173040464627</v>
      </c>
      <c r="F7" s="5">
        <v>10</v>
      </c>
      <c r="G7" s="3">
        <v>1.0000000000000001E-5</v>
      </c>
    </row>
    <row r="8" spans="2:7" ht="15.75" x14ac:dyDescent="0.25">
      <c r="B8" s="5">
        <v>3</v>
      </c>
      <c r="C8" s="41">
        <v>0.32701999999999998</v>
      </c>
      <c r="D8" s="34">
        <f t="shared" si="0"/>
        <v>1.0000106140259233</v>
      </c>
      <c r="E8" s="21">
        <f t="shared" si="1"/>
        <v>0.32702347099875739</v>
      </c>
      <c r="F8" s="5">
        <v>10</v>
      </c>
      <c r="G8" s="3">
        <v>1.0000000000000001E-5</v>
      </c>
    </row>
    <row r="9" spans="2:7" ht="15.75" x14ac:dyDescent="0.25">
      <c r="B9" s="5">
        <v>4</v>
      </c>
      <c r="C9" s="41">
        <v>0.47300999999999999</v>
      </c>
      <c r="D9" s="34">
        <f t="shared" si="0"/>
        <v>1.0000106140259233</v>
      </c>
      <c r="E9" s="21">
        <f t="shared" si="1"/>
        <v>0.47301502054040195</v>
      </c>
      <c r="F9" s="5">
        <v>10</v>
      </c>
      <c r="G9" s="3">
        <v>1.0000000000000001E-5</v>
      </c>
    </row>
    <row r="10" spans="2:7" ht="15.75" x14ac:dyDescent="0.25">
      <c r="B10" s="5">
        <v>5</v>
      </c>
      <c r="C10" s="41">
        <v>0.68627000000000005</v>
      </c>
      <c r="D10" s="34">
        <f t="shared" si="0"/>
        <v>1.0000106140259233</v>
      </c>
      <c r="E10" s="21">
        <f t="shared" si="1"/>
        <v>0.68627728408757038</v>
      </c>
      <c r="F10" s="5">
        <v>10</v>
      </c>
      <c r="G10" s="3">
        <v>1.0000000000000001E-5</v>
      </c>
    </row>
    <row r="11" spans="2:7" ht="15.75" x14ac:dyDescent="0.25">
      <c r="B11" s="5">
        <v>6</v>
      </c>
      <c r="C11" s="41">
        <v>0.87229000000000001</v>
      </c>
      <c r="D11" s="34">
        <f t="shared" si="0"/>
        <v>1.0000106140259233</v>
      </c>
      <c r="E11" s="21">
        <f t="shared" si="1"/>
        <v>0.87229925850867263</v>
      </c>
      <c r="F11" s="5">
        <v>10</v>
      </c>
      <c r="G11" s="3">
        <v>1.0000000000000001E-5</v>
      </c>
    </row>
    <row r="12" spans="2:7" ht="15.75" x14ac:dyDescent="0.25">
      <c r="B12" s="5">
        <v>7</v>
      </c>
      <c r="C12" s="41">
        <v>1.07206</v>
      </c>
      <c r="D12" s="34">
        <f t="shared" si="0"/>
        <v>1.0000106140259233</v>
      </c>
      <c r="E12" s="21">
        <f t="shared" si="1"/>
        <v>1.0720713788726313</v>
      </c>
      <c r="F12" s="5">
        <v>10</v>
      </c>
      <c r="G12" s="3">
        <v>1.0000000000000001E-5</v>
      </c>
    </row>
    <row r="13" spans="2:7" ht="15.75" x14ac:dyDescent="0.25">
      <c r="B13" s="5">
        <v>8</v>
      </c>
      <c r="C13" s="41">
        <v>1.27704</v>
      </c>
      <c r="D13" s="34">
        <f t="shared" si="0"/>
        <v>1.0000106140259233</v>
      </c>
      <c r="E13" s="21">
        <f t="shared" si="1"/>
        <v>1.2770535545356649</v>
      </c>
      <c r="F13" s="5">
        <v>10</v>
      </c>
      <c r="G13" s="3">
        <v>1.0000000000000001E-5</v>
      </c>
    </row>
    <row r="14" spans="2:7" ht="15.75" x14ac:dyDescent="0.25">
      <c r="B14" s="5">
        <v>9</v>
      </c>
      <c r="C14" s="41">
        <v>1.5239499999999999</v>
      </c>
      <c r="D14" s="34">
        <f t="shared" si="0"/>
        <v>1.0000106140259233</v>
      </c>
      <c r="E14" s="21">
        <f t="shared" si="1"/>
        <v>1.5239661752448057</v>
      </c>
      <c r="F14" s="5">
        <v>10</v>
      </c>
      <c r="G14" s="3">
        <v>2.0000000000000002E-5</v>
      </c>
    </row>
    <row r="15" spans="2:7" ht="15.75" x14ac:dyDescent="0.25">
      <c r="B15" s="5">
        <v>10</v>
      </c>
      <c r="C15" s="41">
        <v>1.79159</v>
      </c>
      <c r="D15" s="34">
        <f t="shared" si="0"/>
        <v>1.0000106140259233</v>
      </c>
      <c r="E15" s="21">
        <f t="shared" si="1"/>
        <v>1.7916090159827038</v>
      </c>
      <c r="F15" s="5">
        <v>10</v>
      </c>
      <c r="G15" s="3">
        <v>2.0000000000000002E-5</v>
      </c>
    </row>
    <row r="16" spans="2:7" ht="15.75" x14ac:dyDescent="0.25">
      <c r="B16" s="5">
        <v>11</v>
      </c>
      <c r="C16" s="41">
        <v>2.1246200000000002</v>
      </c>
      <c r="D16" s="34">
        <f t="shared" si="0"/>
        <v>1.0000106140259233</v>
      </c>
      <c r="E16" s="21">
        <f t="shared" si="1"/>
        <v>2.1246425507717572</v>
      </c>
      <c r="F16" s="5">
        <v>10</v>
      </c>
      <c r="G16" s="3">
        <v>1.0000000000000001E-5</v>
      </c>
    </row>
    <row r="17" spans="2:7" ht="15.75" x14ac:dyDescent="0.25">
      <c r="B17" s="5">
        <v>12</v>
      </c>
      <c r="C17" s="41">
        <v>2.3884699999999999</v>
      </c>
      <c r="D17" s="34">
        <f t="shared" si="0"/>
        <v>1.0000106140259233</v>
      </c>
      <c r="E17" s="21">
        <f t="shared" si="1"/>
        <v>2.3884953512824967</v>
      </c>
      <c r="F17" s="5">
        <v>10</v>
      </c>
      <c r="G17" s="3">
        <v>1.0000000000000001E-5</v>
      </c>
    </row>
    <row r="18" spans="2:7" ht="15.75" x14ac:dyDescent="0.25">
      <c r="B18" s="5">
        <v>13</v>
      </c>
      <c r="C18" s="41">
        <v>2.5142799999999998</v>
      </c>
      <c r="D18" s="34">
        <f t="shared" si="0"/>
        <v>1.0000106140259233</v>
      </c>
      <c r="E18" s="21">
        <f t="shared" si="1"/>
        <v>2.5143066866330983</v>
      </c>
      <c r="F18" s="5">
        <v>10</v>
      </c>
      <c r="G18" s="3">
        <v>0</v>
      </c>
    </row>
    <row r="19" spans="2:7" ht="15.75" x14ac:dyDescent="0.25">
      <c r="B19" s="5">
        <v>14</v>
      </c>
      <c r="C19" s="41">
        <v>2.6440600000000001</v>
      </c>
      <c r="D19" s="34">
        <f t="shared" si="0"/>
        <v>1.0000106140259233</v>
      </c>
      <c r="E19" s="21">
        <f t="shared" si="1"/>
        <v>2.6440880641213829</v>
      </c>
      <c r="F19" s="5">
        <v>10</v>
      </c>
      <c r="G19" s="3">
        <v>1.0000000000000001E-5</v>
      </c>
    </row>
    <row r="20" spans="2:7" ht="15.75" x14ac:dyDescent="0.25">
      <c r="B20" s="5">
        <v>15</v>
      </c>
      <c r="C20" s="41">
        <v>2.8725000000000001</v>
      </c>
      <c r="D20" s="34">
        <f t="shared" si="0"/>
        <v>1.0000106140259233</v>
      </c>
      <c r="E20" s="21">
        <f t="shared" si="1"/>
        <v>2.8725304887894647</v>
      </c>
      <c r="F20" s="5">
        <v>10</v>
      </c>
      <c r="G20" s="3">
        <v>1.0000000000000001E-5</v>
      </c>
    </row>
    <row r="21" spans="2:7" x14ac:dyDescent="0.2">
      <c r="E21" s="15"/>
    </row>
    <row r="22" spans="2:7" ht="15.75" x14ac:dyDescent="0.25">
      <c r="B22" s="144"/>
      <c r="C22" s="144"/>
      <c r="D22" s="43">
        <f>(29.5+29.2)/2</f>
        <v>29.35</v>
      </c>
      <c r="E22" s="23"/>
      <c r="F22" s="144" t="s">
        <v>3</v>
      </c>
      <c r="G22" s="144"/>
    </row>
    <row r="23" spans="2:7" ht="15.75" x14ac:dyDescent="0.25">
      <c r="B23" s="5">
        <v>7</v>
      </c>
      <c r="C23" s="41">
        <v>7.7829999999999996E-2</v>
      </c>
      <c r="D23" s="34">
        <f>1.00000381*(1+0.00000084*($D$22-19.8))</f>
        <v>1.0000118320305638</v>
      </c>
      <c r="E23" s="21">
        <f t="shared" ref="E23:E37" si="2">C23*D23</f>
        <v>7.783092088693877E-2</v>
      </c>
      <c r="F23" s="5">
        <v>10</v>
      </c>
      <c r="G23" s="3">
        <v>2.0000000000000002E-5</v>
      </c>
    </row>
    <row r="24" spans="2:7" ht="15.75" x14ac:dyDescent="0.25">
      <c r="B24" s="5">
        <v>8</v>
      </c>
      <c r="C24" s="41">
        <v>0.28284999999999999</v>
      </c>
      <c r="D24" s="34">
        <f t="shared" ref="D24:D37" si="3">1.00000381*(1+0.00000084*($D$22-19.8))</f>
        <v>1.0000118320305638</v>
      </c>
      <c r="E24" s="21">
        <f t="shared" si="2"/>
        <v>0.28285334668984496</v>
      </c>
      <c r="F24" s="5">
        <v>10</v>
      </c>
      <c r="G24" s="3">
        <v>1.0000000000000001E-5</v>
      </c>
    </row>
    <row r="25" spans="2:7" ht="15.75" x14ac:dyDescent="0.25">
      <c r="B25" s="5">
        <v>9</v>
      </c>
      <c r="C25" s="41">
        <v>0.52975000000000005</v>
      </c>
      <c r="D25" s="34">
        <f t="shared" si="3"/>
        <v>1.0000118320305638</v>
      </c>
      <c r="E25" s="21">
        <f t="shared" si="2"/>
        <v>0.5297562680181912</v>
      </c>
      <c r="F25" s="5">
        <v>10</v>
      </c>
      <c r="G25" s="3">
        <v>1.0000000000000001E-5</v>
      </c>
    </row>
    <row r="26" spans="2:7" ht="15.75" x14ac:dyDescent="0.25">
      <c r="B26" s="5">
        <v>10</v>
      </c>
      <c r="C26" s="41">
        <v>0.79732999999999998</v>
      </c>
      <c r="D26" s="34">
        <f t="shared" si="3"/>
        <v>1.0000118320305638</v>
      </c>
      <c r="E26" s="21">
        <f t="shared" si="2"/>
        <v>0.7973394340329294</v>
      </c>
      <c r="F26" s="5">
        <v>10</v>
      </c>
      <c r="G26" s="3">
        <v>1.0000000000000001E-5</v>
      </c>
    </row>
    <row r="27" spans="2:7" ht="15.75" x14ac:dyDescent="0.25">
      <c r="B27" s="5">
        <v>11</v>
      </c>
      <c r="C27" s="41">
        <v>1.1304000000000001</v>
      </c>
      <c r="D27" s="34">
        <f t="shared" si="3"/>
        <v>1.0000118320305638</v>
      </c>
      <c r="E27" s="21">
        <f t="shared" si="2"/>
        <v>1.1304133749273493</v>
      </c>
      <c r="F27" s="5">
        <v>10</v>
      </c>
      <c r="G27" s="3">
        <v>1.0000000000000001E-5</v>
      </c>
    </row>
    <row r="28" spans="2:7" ht="15.75" x14ac:dyDescent="0.25">
      <c r="B28" s="5">
        <v>12</v>
      </c>
      <c r="C28" s="41">
        <v>1.3942399999999999</v>
      </c>
      <c r="D28" s="34">
        <f t="shared" si="3"/>
        <v>1.0000118320305638</v>
      </c>
      <c r="E28" s="21">
        <f t="shared" si="2"/>
        <v>1.3942564966902931</v>
      </c>
      <c r="F28" s="5">
        <v>10</v>
      </c>
      <c r="G28" s="3">
        <v>1.0000000000000001E-5</v>
      </c>
    </row>
    <row r="29" spans="2:7" ht="15.75" x14ac:dyDescent="0.25">
      <c r="B29" s="5">
        <v>13</v>
      </c>
      <c r="C29" s="41">
        <v>1.5200499999999999</v>
      </c>
      <c r="D29" s="34">
        <f t="shared" si="3"/>
        <v>1.0000118320305638</v>
      </c>
      <c r="E29" s="21">
        <f t="shared" si="2"/>
        <v>1.5200679852780583</v>
      </c>
      <c r="F29" s="5">
        <v>10</v>
      </c>
      <c r="G29" s="3">
        <v>1.0000000000000001E-5</v>
      </c>
    </row>
    <row r="30" spans="2:7" ht="15.75" x14ac:dyDescent="0.25">
      <c r="B30" s="5">
        <v>14</v>
      </c>
      <c r="C30" s="41">
        <v>1.6498299999999999</v>
      </c>
      <c r="D30" s="34">
        <f t="shared" si="3"/>
        <v>1.0000118320305638</v>
      </c>
      <c r="E30" s="21">
        <f t="shared" si="2"/>
        <v>1.649849520838985</v>
      </c>
      <c r="F30" s="5">
        <v>10</v>
      </c>
      <c r="G30" s="3">
        <v>1.0000000000000001E-5</v>
      </c>
    </row>
    <row r="31" spans="2:7" ht="15.75" x14ac:dyDescent="0.25">
      <c r="B31" s="5">
        <v>15</v>
      </c>
      <c r="C31" s="41">
        <v>1.8783099999999999</v>
      </c>
      <c r="D31" s="34">
        <f t="shared" si="3"/>
        <v>1.0000118320305638</v>
      </c>
      <c r="E31" s="21">
        <f t="shared" si="2"/>
        <v>1.8783322242213281</v>
      </c>
      <c r="F31" s="5">
        <v>10</v>
      </c>
      <c r="G31" s="3">
        <v>1.0000000000000001E-5</v>
      </c>
    </row>
    <row r="32" spans="2:7" ht="15.75" x14ac:dyDescent="0.25">
      <c r="B32" s="5">
        <v>16</v>
      </c>
      <c r="C32" s="41">
        <v>2.0606200000000001</v>
      </c>
      <c r="D32" s="34">
        <f t="shared" si="3"/>
        <v>1.0000118320305638</v>
      </c>
      <c r="E32" s="21">
        <f t="shared" si="2"/>
        <v>2.0606443813188204</v>
      </c>
      <c r="F32" s="5">
        <v>10</v>
      </c>
      <c r="G32" s="3">
        <v>1.0000000000000001E-5</v>
      </c>
    </row>
    <row r="33" spans="2:7" ht="15.75" x14ac:dyDescent="0.25">
      <c r="B33" s="5">
        <v>17</v>
      </c>
      <c r="C33" s="41">
        <v>2.21245</v>
      </c>
      <c r="D33" s="34">
        <f t="shared" si="3"/>
        <v>1.0000118320305638</v>
      </c>
      <c r="E33" s="21">
        <f t="shared" si="2"/>
        <v>2.2124761777760207</v>
      </c>
      <c r="F33" s="5">
        <v>10</v>
      </c>
      <c r="G33" s="3">
        <v>1.0000000000000001E-5</v>
      </c>
    </row>
    <row r="34" spans="2:7" ht="15.75" x14ac:dyDescent="0.25">
      <c r="B34" s="5">
        <v>18</v>
      </c>
      <c r="C34" s="41">
        <v>2.3656899999999998</v>
      </c>
      <c r="D34" s="34">
        <f t="shared" si="3"/>
        <v>1.0000118320305638</v>
      </c>
      <c r="E34" s="21">
        <f t="shared" si="2"/>
        <v>2.3657179909163841</v>
      </c>
      <c r="F34" s="5">
        <v>10</v>
      </c>
      <c r="G34" s="3">
        <v>2.0000000000000002E-5</v>
      </c>
    </row>
    <row r="35" spans="2:7" ht="15.75" x14ac:dyDescent="0.25">
      <c r="B35" s="5">
        <v>19</v>
      </c>
      <c r="C35" s="41">
        <v>2.52278</v>
      </c>
      <c r="D35" s="34">
        <f t="shared" si="3"/>
        <v>1.0000118320305638</v>
      </c>
      <c r="E35" s="21">
        <f t="shared" si="2"/>
        <v>2.5228098496100655</v>
      </c>
      <c r="F35" s="5">
        <v>10</v>
      </c>
      <c r="G35" s="3">
        <v>1.0000000000000001E-5</v>
      </c>
    </row>
    <row r="36" spans="2:7" ht="15.75" x14ac:dyDescent="0.25">
      <c r="B36" s="5">
        <v>20</v>
      </c>
      <c r="C36" s="41">
        <v>2.6715</v>
      </c>
      <c r="D36" s="34">
        <f t="shared" si="3"/>
        <v>1.0000118320305638</v>
      </c>
      <c r="E36" s="21">
        <f t="shared" si="2"/>
        <v>2.6715316092696511</v>
      </c>
      <c r="F36" s="5">
        <v>10</v>
      </c>
      <c r="G36" s="3">
        <v>2.0000000000000002E-5</v>
      </c>
    </row>
    <row r="37" spans="2:7" ht="15.75" x14ac:dyDescent="0.25">
      <c r="B37" s="5">
        <v>21</v>
      </c>
      <c r="C37" s="41">
        <v>2.8810899999999999</v>
      </c>
      <c r="D37" s="34">
        <f t="shared" si="3"/>
        <v>1.0000118320305638</v>
      </c>
      <c r="E37" s="21">
        <f t="shared" si="2"/>
        <v>2.881124089144937</v>
      </c>
      <c r="F37" s="5">
        <v>10</v>
      </c>
      <c r="G37" s="3">
        <v>2.0000000000000002E-5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pyToStaff">
          <controlPr defaultSize="0" autoLine="0" r:id="rId5">
            <anchor moveWithCells="1">
              <from>
                <xdr:col>5</xdr:col>
                <xdr:colOff>495300</xdr:colOff>
                <xdr:row>0</xdr:row>
                <xdr:rowOff>0</xdr:rowOff>
              </from>
              <to>
                <xdr:col>7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18433" r:id="rId4" name="CopyToStaf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55">
        <v>26909</v>
      </c>
      <c r="B2" s="155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53" priority="21" operator="lessThanOrEqual">
      <formula>-0.0001</formula>
    </cfRule>
    <cfRule type="cellIs" dxfId="52" priority="22" operator="greaterThanOrEqual">
      <formula>0.0001</formula>
    </cfRule>
  </conditionalFormatting>
  <conditionalFormatting sqref="I76:I105 J76:U95">
    <cfRule type="cellIs" dxfId="51" priority="17" operator="lessThanOrEqual">
      <formula>-0.0001</formula>
    </cfRule>
    <cfRule type="cellIs" dxfId="50" priority="18" operator="greaterThanOrEqual">
      <formula>0.0001</formula>
    </cfRule>
  </conditionalFormatting>
  <conditionalFormatting sqref="T53:Z71">
    <cfRule type="cellIs" dxfId="49" priority="15" operator="lessThanOrEqual">
      <formula>-0.0001</formula>
    </cfRule>
    <cfRule type="cellIs" dxfId="48" priority="16" operator="greaterThanOrEqual">
      <formula>0.0001</formula>
    </cfRule>
  </conditionalFormatting>
  <conditionalFormatting sqref="I28:R47">
    <cfRule type="cellIs" dxfId="47" priority="13" operator="lessThanOrEqual">
      <formula>-0.0001</formula>
    </cfRule>
    <cfRule type="cellIs" dxfId="46" priority="14" operator="greaterThanOrEqual">
      <formula>0.0001</formula>
    </cfRule>
  </conditionalFormatting>
  <conditionalFormatting sqref="S28:S47">
    <cfRule type="cellIs" dxfId="45" priority="11" operator="lessThanOrEqual">
      <formula>-0.0001</formula>
    </cfRule>
    <cfRule type="cellIs" dxfId="44" priority="12" operator="greaterThanOrEqual">
      <formula>0.0001</formula>
    </cfRule>
  </conditionalFormatting>
  <conditionalFormatting sqref="Q52:R71">
    <cfRule type="cellIs" dxfId="43" priority="9" operator="lessThanOrEqual">
      <formula>-0.0001</formula>
    </cfRule>
    <cfRule type="cellIs" dxfId="42" priority="10" operator="greaterThanOrEqual">
      <formula>0.0001</formula>
    </cfRule>
  </conditionalFormatting>
  <conditionalFormatting sqref="S52:S71">
    <cfRule type="cellIs" dxfId="41" priority="7" operator="lessThanOrEqual">
      <formula>-0.0001</formula>
    </cfRule>
    <cfRule type="cellIs" dxfId="40" priority="8" operator="greaterThanOrEqual">
      <formula>0.0001</formula>
    </cfRule>
  </conditionalFormatting>
  <conditionalFormatting sqref="B28:H47">
    <cfRule type="cellIs" dxfId="39" priority="5" operator="lessThanOrEqual">
      <formula>-0.0001</formula>
    </cfRule>
    <cfRule type="cellIs" dxfId="38" priority="6" operator="greaterThanOrEqual">
      <formula>0.0001</formula>
    </cfRule>
  </conditionalFormatting>
  <conditionalFormatting sqref="B52:H71">
    <cfRule type="cellIs" dxfId="37" priority="3" operator="lessThanOrEqual">
      <formula>-0.0001</formula>
    </cfRule>
    <cfRule type="cellIs" dxfId="36" priority="4" operator="greaterThanOrEqual">
      <formula>0.0001</formula>
    </cfRule>
  </conditionalFormatting>
  <conditionalFormatting sqref="B76:H95">
    <cfRule type="cellIs" dxfId="35" priority="1" operator="lessThanOrEqual">
      <formula>-0.0001</formula>
    </cfRule>
    <cfRule type="cellIs" dxfId="34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33" priority="13" operator="lessThanOrEqual">
      <formula>-0.0001</formula>
    </cfRule>
    <cfRule type="cellIs" dxfId="32" priority="14" operator="greaterThanOrEqual">
      <formula>0.0001</formula>
    </cfRule>
  </conditionalFormatting>
  <conditionalFormatting sqref="I72:I80">
    <cfRule type="cellIs" dxfId="31" priority="11" operator="lessThanOrEqual">
      <formula>-0.0001</formula>
    </cfRule>
    <cfRule type="cellIs" dxfId="30" priority="12" operator="greaterThanOrEqual">
      <formula>0.0001</formula>
    </cfRule>
  </conditionalFormatting>
  <conditionalFormatting sqref="AO27:AP46">
    <cfRule type="cellIs" dxfId="29" priority="5" operator="lessThanOrEqual">
      <formula>-0.0001</formula>
    </cfRule>
    <cfRule type="cellIs" dxfId="28" priority="6" operator="greaterThanOrEqual">
      <formula>0.0001</formula>
    </cfRule>
  </conditionalFormatting>
  <conditionalFormatting sqref="AQ27:AQ46">
    <cfRule type="cellIs" dxfId="27" priority="3" operator="lessThanOrEqual">
      <formula>-0.0001</formula>
    </cfRule>
    <cfRule type="cellIs" dxfId="26" priority="4" operator="greaterThanOrEqual">
      <formula>0.0001</formula>
    </cfRule>
  </conditionalFormatting>
  <conditionalFormatting sqref="B27:H46">
    <cfRule type="cellIs" dxfId="25" priority="1" operator="lessThanOrEqual">
      <formula>-0.0001</formula>
    </cfRule>
    <cfRule type="cellIs" dxfId="24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T82"/>
  <sheetViews>
    <sheetView workbookViewId="0">
      <selection activeCell="J32" sqref="J32:J53"/>
    </sheetView>
  </sheetViews>
  <sheetFormatPr defaultRowHeight="15" x14ac:dyDescent="0.2"/>
  <cols>
    <col min="2" max="2" width="9.88671875" bestFit="1" customWidth="1"/>
  </cols>
  <sheetData>
    <row r="1" spans="1:13" x14ac:dyDescent="0.2">
      <c r="A1" s="138" t="s">
        <v>444</v>
      </c>
      <c r="B1" s="22">
        <v>44461</v>
      </c>
    </row>
    <row r="2" spans="1:13" ht="17.25" x14ac:dyDescent="0.2">
      <c r="A2" s="163" t="s">
        <v>432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</row>
    <row r="3" spans="1:13" ht="15.75" thickBot="1" x14ac:dyDescent="0.25"/>
    <row r="4" spans="1:13" x14ac:dyDescent="0.2">
      <c r="A4" s="157" t="s">
        <v>135</v>
      </c>
      <c r="B4" s="157" t="s">
        <v>197</v>
      </c>
      <c r="C4" s="157" t="s">
        <v>198</v>
      </c>
      <c r="D4" s="157" t="s">
        <v>199</v>
      </c>
      <c r="E4" s="157" t="s">
        <v>200</v>
      </c>
      <c r="F4" s="157" t="s">
        <v>201</v>
      </c>
      <c r="G4" s="157" t="s">
        <v>202</v>
      </c>
      <c r="H4" s="157" t="s">
        <v>203</v>
      </c>
      <c r="I4" s="157" t="s">
        <v>204</v>
      </c>
      <c r="J4" s="159" t="s">
        <v>205</v>
      </c>
      <c r="K4" s="157" t="s">
        <v>206</v>
      </c>
      <c r="L4" s="157" t="s">
        <v>207</v>
      </c>
      <c r="M4" s="157" t="s">
        <v>208</v>
      </c>
    </row>
    <row r="5" spans="1:13" ht="15.75" thickBot="1" x14ac:dyDescent="0.25">
      <c r="A5" s="158"/>
      <c r="B5" s="158"/>
      <c r="C5" s="158"/>
      <c r="D5" s="158"/>
      <c r="E5" s="158"/>
      <c r="F5" s="158"/>
      <c r="G5" s="158"/>
      <c r="H5" s="158"/>
      <c r="I5" s="158"/>
      <c r="J5" s="160"/>
      <c r="K5" s="158"/>
      <c r="L5" s="158"/>
      <c r="M5" s="158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9">
        <v>9.0859999999999996E-2</v>
      </c>
      <c r="K6" s="148">
        <v>9.0870000000000006E-2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9">
        <v>0.16400000000000001</v>
      </c>
      <c r="K7" s="148">
        <v>0.16400000000000001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9">
        <v>0.14605000000000001</v>
      </c>
      <c r="K8" s="148">
        <v>0.14605000000000001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9">
        <v>0.21314</v>
      </c>
      <c r="K9" s="148">
        <v>0.21315999999999999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9">
        <v>0.18607000000000001</v>
      </c>
      <c r="K10" s="148">
        <v>0.18609999999999999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9">
        <v>0.19972999999999999</v>
      </c>
      <c r="K11" s="148">
        <v>0.19968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9">
        <v>0.20499000000000001</v>
      </c>
      <c r="K12" s="148">
        <v>0.20501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9">
        <v>0.24687999999999999</v>
      </c>
      <c r="K13" s="148">
        <v>0.24689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9">
        <v>0.26762000000000002</v>
      </c>
      <c r="K14" s="148">
        <v>0.26763999999999999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9">
        <v>0.33306000000000002</v>
      </c>
      <c r="K15" s="148">
        <v>0.33305000000000001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9">
        <v>0.26384000000000002</v>
      </c>
      <c r="K16" s="148">
        <v>0.26382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9">
        <v>0.12583</v>
      </c>
      <c r="K17" s="148">
        <v>0.12581999999999999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9">
        <v>0.12977</v>
      </c>
      <c r="K18" s="148">
        <v>0.12973000000000001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9">
        <v>0.22844999999999999</v>
      </c>
      <c r="K19" s="148">
        <v>0.22855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9">
        <v>0.18239</v>
      </c>
      <c r="K20" s="148">
        <v>0.18235999999999999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9">
        <v>0.15182999999999999</v>
      </c>
      <c r="K21" s="148">
        <v>0.15179000000000001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9">
        <v>0.15323999999999999</v>
      </c>
      <c r="K22" s="148">
        <v>0.15331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9">
        <v>0.15709999999999999</v>
      </c>
      <c r="K23" s="148">
        <v>0.15714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9">
        <v>0.14865999999999999</v>
      </c>
      <c r="K24" s="148">
        <v>0.14865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9">
        <v>0.20962</v>
      </c>
      <c r="K25" s="148">
        <v>0.20962</v>
      </c>
      <c r="L25" s="148">
        <v>0.20968999999999999</v>
      </c>
      <c r="M25" s="148">
        <v>0.20973</v>
      </c>
    </row>
    <row r="26" spans="1:20" x14ac:dyDescent="0.2">
      <c r="A26" s="161" t="s">
        <v>433</v>
      </c>
      <c r="B26" s="161">
        <v>3.8037899999999998</v>
      </c>
      <c r="C26" s="161">
        <v>3.8038099999999999</v>
      </c>
      <c r="D26" s="161">
        <v>3.8036500000000002</v>
      </c>
      <c r="E26" s="161">
        <v>3.8034500000000002</v>
      </c>
      <c r="F26" s="161">
        <v>3.8030599999999999</v>
      </c>
      <c r="G26" s="161">
        <v>3.8030400000000002</v>
      </c>
      <c r="H26" s="161">
        <v>3.8029299999999999</v>
      </c>
      <c r="I26" s="161">
        <v>3.80288</v>
      </c>
      <c r="J26" s="164">
        <v>3.8031299999999999</v>
      </c>
      <c r="K26" s="161">
        <v>3.8032400000000002</v>
      </c>
      <c r="L26" s="161">
        <v>3.80348</v>
      </c>
      <c r="M26" s="161">
        <v>3.8036500000000002</v>
      </c>
    </row>
    <row r="27" spans="1:20" ht="15.75" thickBot="1" x14ac:dyDescent="0.25">
      <c r="A27" s="162"/>
      <c r="B27" s="162"/>
      <c r="C27" s="162"/>
      <c r="D27" s="162"/>
      <c r="E27" s="162"/>
      <c r="F27" s="162"/>
      <c r="G27" s="162"/>
      <c r="H27" s="162"/>
      <c r="I27" s="162"/>
      <c r="J27" s="165"/>
      <c r="K27" s="162"/>
      <c r="L27" s="162"/>
      <c r="M27" s="162"/>
    </row>
    <row r="29" spans="1:20" x14ac:dyDescent="0.2">
      <c r="P29" s="156" t="s">
        <v>445</v>
      </c>
      <c r="Q29" s="156"/>
      <c r="R29" s="156"/>
      <c r="S29" s="156"/>
    </row>
    <row r="30" spans="1:20" ht="34.5" customHeight="1" x14ac:dyDescent="0.2">
      <c r="B30" s="157" t="s">
        <v>434</v>
      </c>
      <c r="C30" s="157"/>
      <c r="D30" s="157"/>
      <c r="E30" s="146"/>
      <c r="H30" s="157" t="s">
        <v>438</v>
      </c>
      <c r="I30" s="157"/>
      <c r="J30" s="157"/>
      <c r="K30" s="146"/>
      <c r="S30">
        <v>26296</v>
      </c>
      <c r="T30">
        <v>79918</v>
      </c>
    </row>
    <row r="31" spans="1:20" ht="15.75" x14ac:dyDescent="0.25">
      <c r="B31" s="145" t="s">
        <v>435</v>
      </c>
      <c r="C31" s="145" t="s">
        <v>436</v>
      </c>
      <c r="D31" s="145" t="s">
        <v>437</v>
      </c>
      <c r="E31" s="145" t="s">
        <v>442</v>
      </c>
      <c r="F31" s="145"/>
      <c r="G31" s="145"/>
      <c r="H31" s="145" t="s">
        <v>435</v>
      </c>
      <c r="I31" s="145" t="s">
        <v>436</v>
      </c>
      <c r="J31" s="145" t="s">
        <v>437</v>
      </c>
      <c r="K31" s="145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9.1009999999999994E-2</v>
      </c>
      <c r="I32">
        <v>9.1009999999999994E-2</v>
      </c>
      <c r="J32">
        <v>1.4E-5</v>
      </c>
      <c r="P32" s="147" t="s">
        <v>270</v>
      </c>
      <c r="Q32" s="15">
        <f t="shared" ref="Q32:Q59" si="0">B32-H32</f>
        <v>-2.299999999999941E-4</v>
      </c>
      <c r="R32" s="15">
        <f t="shared" ref="R32:R59" si="1">C32-I32</f>
        <v>-2.299999999999941E-4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0.16403000000000001</v>
      </c>
      <c r="C33">
        <v>0.16403000000000001</v>
      </c>
      <c r="D33">
        <v>1.4E-5</v>
      </c>
      <c r="G33" s="147" t="s">
        <v>271</v>
      </c>
      <c r="H33">
        <v>0.16399</v>
      </c>
      <c r="I33">
        <v>0.16399</v>
      </c>
      <c r="J33">
        <v>1.4E-5</v>
      </c>
      <c r="P33" s="147" t="s">
        <v>271</v>
      </c>
      <c r="Q33" s="15">
        <f t="shared" si="0"/>
        <v>4.0000000000012248E-5</v>
      </c>
      <c r="R33" s="15">
        <f t="shared" si="1"/>
        <v>4.0000000000012248E-5</v>
      </c>
      <c r="S33" s="15">
        <f t="shared" ref="S33:S45" si="2">C33-B64</f>
        <v>0</v>
      </c>
      <c r="T33" s="15">
        <f t="shared" ref="T33:T45" si="3">I33-H64</f>
        <v>0</v>
      </c>
    </row>
    <row r="34" spans="1:20" ht="15.75" thickBot="1" x14ac:dyDescent="0.25">
      <c r="A34" s="147" t="s">
        <v>272</v>
      </c>
      <c r="B34">
        <v>0.14607000000000001</v>
      </c>
      <c r="C34">
        <v>0.14607000000000001</v>
      </c>
      <c r="D34">
        <v>1.4E-5</v>
      </c>
      <c r="G34" s="147" t="s">
        <v>272</v>
      </c>
      <c r="H34">
        <v>0.14599000000000001</v>
      </c>
      <c r="I34">
        <v>0.14599000000000001</v>
      </c>
      <c r="J34">
        <v>1.4E-5</v>
      </c>
      <c r="P34" s="147" t="s">
        <v>272</v>
      </c>
      <c r="Q34" s="15">
        <f t="shared" si="0"/>
        <v>7.999999999999674E-5</v>
      </c>
      <c r="R34" s="15">
        <f t="shared" si="1"/>
        <v>7.999999999999674E-5</v>
      </c>
      <c r="S34" s="15">
        <f t="shared" si="2"/>
        <v>0</v>
      </c>
      <c r="T34" s="15">
        <f t="shared" si="3"/>
        <v>0</v>
      </c>
    </row>
    <row r="35" spans="1:20" ht="15.75" thickBot="1" x14ac:dyDescent="0.25">
      <c r="A35" s="147" t="s">
        <v>273</v>
      </c>
      <c r="B35">
        <v>0.21312999999999999</v>
      </c>
      <c r="C35">
        <v>0.21312999999999999</v>
      </c>
      <c r="D35">
        <v>1.4E-5</v>
      </c>
      <c r="G35" s="147" t="s">
        <v>273</v>
      </c>
      <c r="H35">
        <v>0.21326000000000001</v>
      </c>
      <c r="I35">
        <v>0.21326000000000001</v>
      </c>
      <c r="J35">
        <v>1.4E-5</v>
      </c>
      <c r="P35" s="147" t="s">
        <v>273</v>
      </c>
      <c r="Q35" s="15">
        <f t="shared" si="0"/>
        <v>-1.3000000000001899E-4</v>
      </c>
      <c r="R35" s="15">
        <f t="shared" si="1"/>
        <v>-1.3000000000001899E-4</v>
      </c>
      <c r="S35" s="15">
        <f t="shared" si="2"/>
        <v>0</v>
      </c>
      <c r="T35" s="15">
        <f t="shared" si="3"/>
        <v>0</v>
      </c>
    </row>
    <row r="36" spans="1:20" ht="15.75" thickBot="1" x14ac:dyDescent="0.25">
      <c r="A36" s="147" t="s">
        <v>281</v>
      </c>
      <c r="B36">
        <v>0.18608</v>
      </c>
      <c r="C36">
        <v>0.18608</v>
      </c>
      <c r="D36">
        <v>1.4E-5</v>
      </c>
      <c r="G36" s="147" t="s">
        <v>281</v>
      </c>
      <c r="H36">
        <v>0.18601999999999999</v>
      </c>
      <c r="I36">
        <v>0.18601999999999999</v>
      </c>
      <c r="J36">
        <v>1.4E-5</v>
      </c>
      <c r="P36" s="147" t="s">
        <v>281</v>
      </c>
      <c r="Q36" s="15">
        <f t="shared" si="0"/>
        <v>6.0000000000004494E-5</v>
      </c>
      <c r="R36" s="15">
        <f t="shared" si="1"/>
        <v>6.0000000000004494E-5</v>
      </c>
      <c r="S36" s="15">
        <f t="shared" si="2"/>
        <v>0</v>
      </c>
      <c r="T36" s="15">
        <f t="shared" si="3"/>
        <v>0</v>
      </c>
    </row>
    <row r="37" spans="1:20" ht="17.25" customHeight="1" thickBot="1" x14ac:dyDescent="0.25">
      <c r="A37" s="147" t="s">
        <v>274</v>
      </c>
      <c r="B37">
        <v>0.19972999999999999</v>
      </c>
      <c r="C37">
        <v>0.19972999999999999</v>
      </c>
      <c r="D37">
        <v>1.4E-5</v>
      </c>
      <c r="G37" s="147" t="s">
        <v>274</v>
      </c>
      <c r="H37">
        <v>0.19977</v>
      </c>
      <c r="I37">
        <v>0.19977</v>
      </c>
      <c r="J37">
        <v>1.4E-5</v>
      </c>
      <c r="P37" s="147" t="s">
        <v>274</v>
      </c>
      <c r="Q37" s="15">
        <f t="shared" si="0"/>
        <v>-4.0000000000012248E-5</v>
      </c>
      <c r="R37" s="15">
        <f t="shared" si="1"/>
        <v>-4.0000000000012248E-5</v>
      </c>
      <c r="S37" s="15">
        <f t="shared" si="2"/>
        <v>0</v>
      </c>
      <c r="T37" s="15">
        <f t="shared" si="3"/>
        <v>0</v>
      </c>
    </row>
    <row r="38" spans="1:20" ht="15.75" thickBot="1" x14ac:dyDescent="0.25">
      <c r="A38" s="147" t="s">
        <v>275</v>
      </c>
      <c r="B38">
        <v>0.20497000000000001</v>
      </c>
      <c r="C38">
        <v>0.20497000000000001</v>
      </c>
      <c r="D38">
        <v>1.4E-5</v>
      </c>
      <c r="G38" s="147" t="s">
        <v>275</v>
      </c>
      <c r="H38">
        <v>0.20498</v>
      </c>
      <c r="I38">
        <v>0.20498</v>
      </c>
      <c r="J38">
        <v>1.4E-5</v>
      </c>
      <c r="P38" s="147" t="s">
        <v>275</v>
      </c>
      <c r="Q38" s="15">
        <f t="shared" si="0"/>
        <v>-9.9999999999822453E-6</v>
      </c>
      <c r="R38" s="15">
        <f t="shared" si="1"/>
        <v>-9.9999999999822453E-6</v>
      </c>
      <c r="S38" s="15">
        <f t="shared" si="2"/>
        <v>-2.9999999999974492E-5</v>
      </c>
      <c r="T38" s="15">
        <f t="shared" si="3"/>
        <v>-1.0000000000010001E-5</v>
      </c>
    </row>
    <row r="39" spans="1:20" ht="15.75" thickBot="1" x14ac:dyDescent="0.25">
      <c r="A39" s="147" t="s">
        <v>276</v>
      </c>
      <c r="B39">
        <v>0.24693000000000001</v>
      </c>
      <c r="C39">
        <v>0.24693000000000001</v>
      </c>
      <c r="D39">
        <v>1.4E-5</v>
      </c>
      <c r="G39" s="147" t="s">
        <v>276</v>
      </c>
      <c r="H39">
        <v>0.24690999999999999</v>
      </c>
      <c r="I39">
        <v>0.24690999999999999</v>
      </c>
      <c r="J39">
        <v>2.1999999999999999E-5</v>
      </c>
      <c r="P39" s="147" t="s">
        <v>276</v>
      </c>
      <c r="Q39" s="15">
        <f t="shared" si="0"/>
        <v>2.0000000000020002E-5</v>
      </c>
      <c r="R39" s="15">
        <f t="shared" si="1"/>
        <v>2.0000000000020002E-5</v>
      </c>
      <c r="S39" s="15">
        <f t="shared" si="2"/>
        <v>4.0000000000012248E-5</v>
      </c>
      <c r="T39" s="15">
        <f t="shared" si="3"/>
        <v>9.9999999999822453E-6</v>
      </c>
    </row>
    <row r="40" spans="1:20" ht="15.75" thickBot="1" x14ac:dyDescent="0.25">
      <c r="A40" s="147" t="s">
        <v>277</v>
      </c>
      <c r="B40">
        <v>0.2676</v>
      </c>
      <c r="C40">
        <v>0.2676</v>
      </c>
      <c r="D40">
        <v>1.4E-5</v>
      </c>
      <c r="G40" s="147" t="s">
        <v>277</v>
      </c>
      <c r="H40">
        <v>0.26763999999999999</v>
      </c>
      <c r="I40">
        <v>0.26763999999999999</v>
      </c>
      <c r="J40">
        <v>2.8E-5</v>
      </c>
      <c r="P40" s="147" t="s">
        <v>277</v>
      </c>
      <c r="Q40" s="15">
        <f t="shared" si="0"/>
        <v>-3.9999999999984492E-5</v>
      </c>
      <c r="R40" s="15">
        <f t="shared" si="1"/>
        <v>-3.9999999999984492E-5</v>
      </c>
      <c r="S40" s="15">
        <f t="shared" si="2"/>
        <v>-1.0000000000010001E-5</v>
      </c>
      <c r="T40" s="15">
        <f t="shared" si="3"/>
        <v>4.9999999999994493E-5</v>
      </c>
    </row>
    <row r="41" spans="1:20" ht="15.75" thickBot="1" x14ac:dyDescent="0.25">
      <c r="A41" s="147" t="s">
        <v>439</v>
      </c>
      <c r="B41">
        <v>0.33306000000000002</v>
      </c>
      <c r="C41">
        <v>0.33306000000000002</v>
      </c>
      <c r="D41">
        <v>1.4E-5</v>
      </c>
      <c r="G41" s="147" t="s">
        <v>439</v>
      </c>
      <c r="H41">
        <v>0.33302999999999999</v>
      </c>
      <c r="I41">
        <v>0.33302999999999999</v>
      </c>
      <c r="J41">
        <v>2.1999999999999999E-5</v>
      </c>
      <c r="P41" s="147" t="s">
        <v>439</v>
      </c>
      <c r="Q41" s="15">
        <f t="shared" si="0"/>
        <v>3.0000000000030003E-5</v>
      </c>
      <c r="R41" s="15">
        <f t="shared" si="1"/>
        <v>3.0000000000030003E-5</v>
      </c>
      <c r="S41" s="15">
        <f t="shared" si="2"/>
        <v>-4.9999999999994493E-5</v>
      </c>
      <c r="T41" s="15">
        <f t="shared" si="3"/>
        <v>-3.0000000000030003E-5</v>
      </c>
    </row>
    <row r="42" spans="1:20" ht="15.75" thickBot="1" x14ac:dyDescent="0.25">
      <c r="A42" s="147" t="s">
        <v>279</v>
      </c>
      <c r="B42">
        <v>0.26382</v>
      </c>
      <c r="C42">
        <v>0.26382</v>
      </c>
      <c r="D42">
        <v>1.4E-5</v>
      </c>
      <c r="G42" s="147" t="s">
        <v>279</v>
      </c>
      <c r="H42">
        <v>0.26384999999999997</v>
      </c>
      <c r="I42">
        <v>0.26384999999999997</v>
      </c>
      <c r="J42">
        <v>1.4E-5</v>
      </c>
      <c r="P42" s="147" t="s">
        <v>279</v>
      </c>
      <c r="Q42" s="15">
        <f t="shared" si="0"/>
        <v>-2.9999999999974492E-5</v>
      </c>
      <c r="R42" s="15">
        <f t="shared" si="1"/>
        <v>-2.9999999999974492E-5</v>
      </c>
      <c r="S42" s="15">
        <f t="shared" si="2"/>
        <v>0</v>
      </c>
      <c r="T42" s="15">
        <f t="shared" si="3"/>
        <v>9.9999999999544897E-6</v>
      </c>
    </row>
    <row r="43" spans="1:20" ht="15.75" thickBot="1" x14ac:dyDescent="0.25">
      <c r="A43" s="147" t="s">
        <v>280</v>
      </c>
      <c r="B43">
        <v>0.12587999999999999</v>
      </c>
      <c r="C43">
        <v>0.12587999999999999</v>
      </c>
      <c r="D43">
        <v>1.4E-5</v>
      </c>
      <c r="G43" s="147" t="s">
        <v>280</v>
      </c>
      <c r="H43">
        <v>0.12581000000000001</v>
      </c>
      <c r="I43">
        <v>0.12581000000000001</v>
      </c>
      <c r="J43">
        <v>1.4E-5</v>
      </c>
      <c r="P43" s="147" t="s">
        <v>280</v>
      </c>
      <c r="Q43" s="15">
        <f t="shared" si="0"/>
        <v>6.9999999999986739E-5</v>
      </c>
      <c r="R43" s="15">
        <f t="shared" si="1"/>
        <v>6.9999999999986739E-5</v>
      </c>
      <c r="S43" s="15">
        <f t="shared" si="2"/>
        <v>3.9999999999984492E-5</v>
      </c>
      <c r="T43" s="15">
        <f t="shared" si="3"/>
        <v>0</v>
      </c>
    </row>
    <row r="44" spans="1:20" ht="15.75" thickBot="1" x14ac:dyDescent="0.25">
      <c r="A44" s="148" t="s">
        <v>282</v>
      </c>
      <c r="B44">
        <v>0.12975</v>
      </c>
      <c r="C44">
        <v>0.12975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-3.0000000000002247E-5</v>
      </c>
      <c r="R44" s="15">
        <f t="shared" si="1"/>
        <v>-3.0000000000002247E-5</v>
      </c>
      <c r="S44" s="15">
        <f t="shared" si="2"/>
        <v>-9.9999999999822453E-6</v>
      </c>
      <c r="T44" s="15">
        <f t="shared" si="3"/>
        <v>0</v>
      </c>
    </row>
    <row r="45" spans="1:20" ht="15.75" thickBot="1" x14ac:dyDescent="0.25">
      <c r="A45" s="148" t="s">
        <v>283</v>
      </c>
      <c r="B45">
        <v>0.22839999999999999</v>
      </c>
      <c r="C45">
        <v>0.22839999999999999</v>
      </c>
      <c r="D45">
        <v>1.4E-5</v>
      </c>
      <c r="G45" s="148" t="s">
        <v>283</v>
      </c>
      <c r="H45">
        <v>0.22844</v>
      </c>
      <c r="I45">
        <v>0.22844</v>
      </c>
      <c r="J45">
        <v>1.4E-5</v>
      </c>
      <c r="P45" s="148" t="s">
        <v>283</v>
      </c>
      <c r="Q45" s="15">
        <f t="shared" si="0"/>
        <v>-4.0000000000012248E-5</v>
      </c>
      <c r="R45" s="15">
        <f t="shared" si="1"/>
        <v>-4.0000000000012248E-5</v>
      </c>
      <c r="S45" s="15">
        <f t="shared" si="2"/>
        <v>-3.0000000000002247E-5</v>
      </c>
      <c r="T45" s="15">
        <f t="shared" si="3"/>
        <v>-1.9999999999992246E-5</v>
      </c>
    </row>
    <row r="46" spans="1:20" ht="15.75" thickBot="1" x14ac:dyDescent="0.25">
      <c r="A46" s="148" t="s">
        <v>275</v>
      </c>
      <c r="B46">
        <v>0.20502999999999999</v>
      </c>
      <c r="C46">
        <v>0.20502999999999999</v>
      </c>
      <c r="D46">
        <v>1.4E-5</v>
      </c>
      <c r="G46" s="148" t="s">
        <v>275</v>
      </c>
      <c r="H46">
        <v>0.20502000000000001</v>
      </c>
      <c r="I46">
        <v>0.20502000000000001</v>
      </c>
      <c r="J46">
        <v>2.1999999999999999E-5</v>
      </c>
      <c r="P46" s="148" t="s">
        <v>275</v>
      </c>
      <c r="Q46" s="15">
        <f t="shared" si="0"/>
        <v>9.9999999999822453E-6</v>
      </c>
      <c r="R46" s="15">
        <f t="shared" si="1"/>
        <v>9.9999999999822453E-6</v>
      </c>
      <c r="S46" s="15">
        <f>C38-B69</f>
        <v>-2.9999999999974492E-5</v>
      </c>
      <c r="T46" s="15">
        <f>I46-H69</f>
        <v>3.0000000000002247E-5</v>
      </c>
    </row>
    <row r="47" spans="1:20" ht="15.75" thickBot="1" x14ac:dyDescent="0.25">
      <c r="A47" s="148" t="s">
        <v>276</v>
      </c>
      <c r="B47">
        <v>0.24684</v>
      </c>
      <c r="C47">
        <v>0.24684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-6.0000000000004494E-5</v>
      </c>
      <c r="R47" s="15">
        <f t="shared" si="1"/>
        <v>-6.0000000000004494E-5</v>
      </c>
      <c r="S47" s="15">
        <f t="shared" ref="S47:S53" si="4">C39-B70</f>
        <v>4.0000000000012248E-5</v>
      </c>
      <c r="T47" s="15">
        <f t="shared" ref="T47:T59" si="5">I47-H70</f>
        <v>0</v>
      </c>
    </row>
    <row r="48" spans="1:20" ht="15.75" thickBot="1" x14ac:dyDescent="0.25">
      <c r="A48" s="148" t="s">
        <v>277</v>
      </c>
      <c r="B48">
        <v>0.26761000000000001</v>
      </c>
      <c r="C48">
        <v>0.26761000000000001</v>
      </c>
      <c r="D48">
        <v>1.4E-5</v>
      </c>
      <c r="G48" s="148" t="s">
        <v>277</v>
      </c>
      <c r="H48">
        <v>0.26757999999999998</v>
      </c>
      <c r="I48">
        <v>0.26757999999999998</v>
      </c>
      <c r="J48">
        <v>1.4E-5</v>
      </c>
      <c r="P48" s="148" t="s">
        <v>277</v>
      </c>
      <c r="Q48" s="15">
        <f t="shared" si="0"/>
        <v>3.0000000000030003E-5</v>
      </c>
      <c r="R48" s="15">
        <f t="shared" si="1"/>
        <v>3.0000000000030003E-5</v>
      </c>
      <c r="S48" s="15">
        <f t="shared" si="4"/>
        <v>-1.0000000000010001E-5</v>
      </c>
      <c r="T48" s="15">
        <f t="shared" si="5"/>
        <v>-1.0000000000010001E-5</v>
      </c>
    </row>
    <row r="49" spans="1:20" ht="15.75" thickBot="1" x14ac:dyDescent="0.25">
      <c r="A49" s="147" t="s">
        <v>278</v>
      </c>
      <c r="B49">
        <v>0.33316000000000001</v>
      </c>
      <c r="C49">
        <v>0.33316000000000001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1.4E-5</v>
      </c>
      <c r="P49" s="147" t="s">
        <v>278</v>
      </c>
      <c r="Q49" s="15">
        <f t="shared" si="0"/>
        <v>9.0000000000034497E-5</v>
      </c>
      <c r="R49" s="15">
        <f t="shared" si="1"/>
        <v>9.0000000000034497E-5</v>
      </c>
      <c r="S49" s="15">
        <f t="shared" si="4"/>
        <v>-4.9999999999994493E-5</v>
      </c>
      <c r="T49" s="15">
        <f t="shared" si="5"/>
        <v>9.9999999999544897E-6</v>
      </c>
    </row>
    <row r="50" spans="1:20" ht="15.75" thickBot="1" x14ac:dyDescent="0.25">
      <c r="A50" s="148" t="s">
        <v>279</v>
      </c>
      <c r="B50">
        <v>0.26380999999999999</v>
      </c>
      <c r="C50">
        <v>0.26380999999999999</v>
      </c>
      <c r="D50">
        <v>1.4E-5</v>
      </c>
      <c r="G50" s="148" t="s">
        <v>279</v>
      </c>
      <c r="H50">
        <v>0.26384000000000002</v>
      </c>
      <c r="I50">
        <v>0.26384000000000002</v>
      </c>
      <c r="J50">
        <v>1.4E-5</v>
      </c>
      <c r="P50" s="148" t="s">
        <v>279</v>
      </c>
      <c r="Q50" s="15">
        <f t="shared" si="0"/>
        <v>-3.0000000000030003E-5</v>
      </c>
      <c r="R50" s="15">
        <f t="shared" si="1"/>
        <v>-3.0000000000030003E-5</v>
      </c>
      <c r="S50" s="15">
        <f t="shared" si="4"/>
        <v>0</v>
      </c>
      <c r="T50" s="15">
        <f t="shared" si="5"/>
        <v>0</v>
      </c>
    </row>
    <row r="51" spans="1:20" x14ac:dyDescent="0.2">
      <c r="A51" s="150" t="s">
        <v>280</v>
      </c>
      <c r="B51">
        <v>0.12579000000000001</v>
      </c>
      <c r="C51">
        <v>0.12579000000000001</v>
      </c>
      <c r="D51">
        <v>1.4E-5</v>
      </c>
      <c r="G51" s="150" t="s">
        <v>280</v>
      </c>
      <c r="H51">
        <v>0.12581000000000001</v>
      </c>
      <c r="I51">
        <v>0.12581000000000001</v>
      </c>
      <c r="J51">
        <v>1.4E-5</v>
      </c>
      <c r="P51" s="150" t="s">
        <v>280</v>
      </c>
      <c r="Q51" s="15">
        <f t="shared" si="0"/>
        <v>-1.9999999999992246E-5</v>
      </c>
      <c r="R51" s="15">
        <f t="shared" si="1"/>
        <v>-1.9999999999992246E-5</v>
      </c>
      <c r="S51" s="15">
        <f>C43-B74</f>
        <v>3.9999999999984492E-5</v>
      </c>
      <c r="T51" s="15">
        <f t="shared" si="5"/>
        <v>0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0.12978000000000001</v>
      </c>
      <c r="I52">
        <v>0.12978000000000001</v>
      </c>
      <c r="J52">
        <v>1.4E-5</v>
      </c>
      <c r="P52" s="150" t="s">
        <v>21</v>
      </c>
      <c r="Q52" s="15">
        <f t="shared" si="0"/>
        <v>-1.0000000000010001E-5</v>
      </c>
      <c r="R52" s="15">
        <f t="shared" si="1"/>
        <v>-1.0000000000010001E-5</v>
      </c>
      <c r="S52" s="15">
        <f t="shared" si="4"/>
        <v>-9.9999999999822453E-6</v>
      </c>
      <c r="T52" s="15">
        <f t="shared" si="5"/>
        <v>0</v>
      </c>
    </row>
    <row r="53" spans="1:20" x14ac:dyDescent="0.2">
      <c r="A53" s="150" t="s">
        <v>22</v>
      </c>
      <c r="B53">
        <v>0.22844999999999999</v>
      </c>
      <c r="C53">
        <v>0.22844999999999999</v>
      </c>
      <c r="D53">
        <v>1.4E-5</v>
      </c>
      <c r="G53" s="150" t="s">
        <v>22</v>
      </c>
      <c r="H53">
        <v>0.22847999999999999</v>
      </c>
      <c r="I53">
        <v>0.22847999999999999</v>
      </c>
      <c r="J53">
        <v>1.4E-5</v>
      </c>
      <c r="P53" s="150" t="s">
        <v>22</v>
      </c>
      <c r="Q53" s="15">
        <f t="shared" si="0"/>
        <v>-3.0000000000002247E-5</v>
      </c>
      <c r="R53" s="15">
        <f t="shared" si="1"/>
        <v>-3.0000000000002247E-5</v>
      </c>
      <c r="S53" s="15">
        <f t="shared" si="4"/>
        <v>-3.0000000000002247E-5</v>
      </c>
      <c r="T53" s="15">
        <f t="shared" si="5"/>
        <v>1.9999999999992246E-5</v>
      </c>
    </row>
    <row r="54" spans="1:20" x14ac:dyDescent="0.2">
      <c r="A54" s="150" t="s">
        <v>23</v>
      </c>
      <c r="B54">
        <v>0.18242</v>
      </c>
      <c r="C54">
        <v>0.18242</v>
      </c>
      <c r="D54">
        <v>1.4E-5</v>
      </c>
      <c r="G54" s="150" t="s">
        <v>23</v>
      </c>
      <c r="H54">
        <v>0.18231</v>
      </c>
      <c r="I54">
        <v>0.18231</v>
      </c>
      <c r="J54">
        <v>1.4E-5</v>
      </c>
      <c r="P54" s="150" t="s">
        <v>23</v>
      </c>
      <c r="Q54" s="15">
        <f t="shared" si="0"/>
        <v>1.0999999999999899E-4</v>
      </c>
      <c r="R54" s="15">
        <f t="shared" si="1"/>
        <v>1.0999999999999899E-4</v>
      </c>
      <c r="S54" s="15">
        <f>C54-B77</f>
        <v>0</v>
      </c>
      <c r="T54" s="15">
        <f t="shared" si="5"/>
        <v>0</v>
      </c>
    </row>
    <row r="55" spans="1:20" x14ac:dyDescent="0.2">
      <c r="A55" s="150" t="s">
        <v>24</v>
      </c>
      <c r="B55">
        <v>0.15182999999999999</v>
      </c>
      <c r="C55">
        <v>0.15182999999999999</v>
      </c>
      <c r="D55">
        <v>1.4E-5</v>
      </c>
      <c r="G55" s="150" t="s">
        <v>24</v>
      </c>
      <c r="H55">
        <v>0.15182999999999999</v>
      </c>
      <c r="I55">
        <v>0.15182999999999999</v>
      </c>
      <c r="J55">
        <v>1.4E-5</v>
      </c>
      <c r="P55" s="150" t="s">
        <v>24</v>
      </c>
      <c r="Q55" s="15">
        <f t="shared" si="0"/>
        <v>0</v>
      </c>
      <c r="R55" s="15">
        <f t="shared" si="1"/>
        <v>0</v>
      </c>
      <c r="S55" s="15">
        <f t="shared" ref="S55:S59" si="6">C55-B78</f>
        <v>0</v>
      </c>
      <c r="T55" s="15">
        <f t="shared" si="5"/>
        <v>0</v>
      </c>
    </row>
    <row r="56" spans="1:20" x14ac:dyDescent="0.2">
      <c r="A56" s="150" t="s">
        <v>25</v>
      </c>
      <c r="B56">
        <v>0.15323000000000001</v>
      </c>
      <c r="C56">
        <v>0.15323000000000001</v>
      </c>
      <c r="D56">
        <v>1.4E-5</v>
      </c>
      <c r="G56" s="150" t="s">
        <v>25</v>
      </c>
      <c r="H56">
        <v>0.15323999999999999</v>
      </c>
      <c r="I56">
        <v>0.15323999999999999</v>
      </c>
      <c r="J56">
        <v>2.1999999999999999E-5</v>
      </c>
      <c r="P56" s="150" t="s">
        <v>25</v>
      </c>
      <c r="Q56" s="15">
        <f t="shared" si="0"/>
        <v>-9.9999999999822453E-6</v>
      </c>
      <c r="R56" s="15">
        <f t="shared" si="1"/>
        <v>-9.9999999999822453E-6</v>
      </c>
      <c r="S56" s="15">
        <f t="shared" si="6"/>
        <v>0</v>
      </c>
      <c r="T56" s="15">
        <f t="shared" si="5"/>
        <v>0</v>
      </c>
    </row>
    <row r="57" spans="1:20" x14ac:dyDescent="0.2">
      <c r="A57" s="150" t="s">
        <v>26</v>
      </c>
      <c r="B57">
        <v>0.15715999999999999</v>
      </c>
      <c r="C57">
        <v>0.15715999999999999</v>
      </c>
      <c r="D57">
        <v>1.4E-5</v>
      </c>
      <c r="G57" s="150" t="s">
        <v>26</v>
      </c>
      <c r="H57">
        <v>0.15709000000000001</v>
      </c>
      <c r="I57">
        <v>0.15709000000000001</v>
      </c>
      <c r="J57">
        <v>2.1999999999999999E-5</v>
      </c>
      <c r="P57" s="150" t="s">
        <v>26</v>
      </c>
      <c r="Q57" s="15">
        <f t="shared" si="0"/>
        <v>6.9999999999986739E-5</v>
      </c>
      <c r="R57" s="15">
        <f t="shared" si="1"/>
        <v>6.9999999999986739E-5</v>
      </c>
      <c r="S57" s="15">
        <f t="shared" si="6"/>
        <v>0</v>
      </c>
      <c r="T57" s="15">
        <f t="shared" si="5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1.4E-5</v>
      </c>
      <c r="G58" s="150" t="s">
        <v>27</v>
      </c>
      <c r="H58">
        <v>0.14871999999999999</v>
      </c>
      <c r="I58">
        <v>0.14871999999999999</v>
      </c>
      <c r="J58">
        <v>2.1999999999999999E-5</v>
      </c>
      <c r="P58" s="150" t="s">
        <v>27</v>
      </c>
      <c r="Q58" s="15">
        <f t="shared" si="0"/>
        <v>-1.1999999999998123E-4</v>
      </c>
      <c r="R58" s="15">
        <f t="shared" si="1"/>
        <v>-1.1999999999998123E-4</v>
      </c>
      <c r="S58" s="15">
        <f t="shared" si="6"/>
        <v>0</v>
      </c>
      <c r="T58" s="15">
        <f t="shared" si="5"/>
        <v>0</v>
      </c>
    </row>
    <row r="59" spans="1:20" x14ac:dyDescent="0.2">
      <c r="A59" s="150" t="s">
        <v>28</v>
      </c>
      <c r="B59">
        <v>0.20960999999999999</v>
      </c>
      <c r="C59">
        <v>0.20960999999999999</v>
      </c>
      <c r="D59">
        <v>1.4E-5</v>
      </c>
      <c r="G59" s="150" t="s">
        <v>28</v>
      </c>
      <c r="H59">
        <v>0.20959</v>
      </c>
      <c r="I59">
        <v>0.20959</v>
      </c>
      <c r="J59">
        <v>2.8E-5</v>
      </c>
      <c r="P59" s="150" t="s">
        <v>28</v>
      </c>
      <c r="Q59" s="15">
        <f t="shared" si="0"/>
        <v>1.9999999999992246E-5</v>
      </c>
      <c r="R59" s="15">
        <f t="shared" si="1"/>
        <v>1.9999999999992246E-5</v>
      </c>
      <c r="S59" s="15">
        <f t="shared" si="6"/>
        <v>0</v>
      </c>
      <c r="T59" s="15">
        <f t="shared" si="5"/>
        <v>0</v>
      </c>
    </row>
    <row r="61" spans="1:20" ht="60" customHeight="1" x14ac:dyDescent="0.2">
      <c r="A61" s="157" t="s">
        <v>434</v>
      </c>
      <c r="B61" s="157"/>
      <c r="C61" s="157"/>
      <c r="G61" s="157" t="s">
        <v>438</v>
      </c>
      <c r="H61" s="157"/>
      <c r="I61" s="157"/>
      <c r="P61" s="156" t="s">
        <v>445</v>
      </c>
      <c r="Q61" s="156"/>
      <c r="R61" s="156"/>
      <c r="S61" s="156"/>
    </row>
    <row r="62" spans="1:20" ht="15.75" x14ac:dyDescent="0.25">
      <c r="B62" s="145" t="s">
        <v>442</v>
      </c>
      <c r="H62" s="145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9.1009999999999994E-2</v>
      </c>
      <c r="P63" s="147" t="s">
        <v>270</v>
      </c>
      <c r="Q63" s="15">
        <f>B63-H63</f>
        <v>-2.299999999999941E-4</v>
      </c>
    </row>
    <row r="64" spans="1:20" ht="15.75" thickBot="1" x14ac:dyDescent="0.25">
      <c r="A64" s="147" t="s">
        <v>271</v>
      </c>
      <c r="B64">
        <v>0.16403000000000001</v>
      </c>
      <c r="G64" s="147" t="s">
        <v>271</v>
      </c>
      <c r="H64">
        <v>0.16399</v>
      </c>
      <c r="P64" s="147" t="s">
        <v>271</v>
      </c>
      <c r="Q64" s="15">
        <f t="shared" ref="Q64:Q82" si="7">B64-H64</f>
        <v>4.0000000000012248E-5</v>
      </c>
    </row>
    <row r="65" spans="1:17" ht="15.75" thickBot="1" x14ac:dyDescent="0.25">
      <c r="A65" s="147" t="s">
        <v>272</v>
      </c>
      <c r="B65">
        <v>0.14607000000000001</v>
      </c>
      <c r="G65" s="147" t="s">
        <v>272</v>
      </c>
      <c r="H65">
        <v>0.14599000000000001</v>
      </c>
      <c r="P65" s="147" t="s">
        <v>272</v>
      </c>
      <c r="Q65" s="15">
        <f t="shared" si="7"/>
        <v>7.999999999999674E-5</v>
      </c>
    </row>
    <row r="66" spans="1:17" ht="15.75" thickBot="1" x14ac:dyDescent="0.25">
      <c r="A66" s="147" t="s">
        <v>273</v>
      </c>
      <c r="B66">
        <v>0.21312999999999999</v>
      </c>
      <c r="G66" s="147" t="s">
        <v>273</v>
      </c>
      <c r="H66">
        <v>0.21326000000000001</v>
      </c>
      <c r="P66" s="147" t="s">
        <v>273</v>
      </c>
      <c r="Q66" s="15">
        <f t="shared" si="7"/>
        <v>-1.3000000000001899E-4</v>
      </c>
    </row>
    <row r="67" spans="1:17" ht="15.75" thickBot="1" x14ac:dyDescent="0.25">
      <c r="A67" s="147" t="s">
        <v>281</v>
      </c>
      <c r="B67">
        <v>0.18608</v>
      </c>
      <c r="G67" s="147" t="s">
        <v>281</v>
      </c>
      <c r="H67">
        <v>0.18601999999999999</v>
      </c>
      <c r="P67" s="147" t="s">
        <v>281</v>
      </c>
      <c r="Q67" s="15">
        <f t="shared" si="7"/>
        <v>6.0000000000004494E-5</v>
      </c>
    </row>
    <row r="68" spans="1:17" ht="15.75" thickBot="1" x14ac:dyDescent="0.25">
      <c r="A68" s="147" t="s">
        <v>274</v>
      </c>
      <c r="B68">
        <v>0.19972999999999999</v>
      </c>
      <c r="G68" s="147" t="s">
        <v>274</v>
      </c>
      <c r="H68">
        <v>0.19977</v>
      </c>
      <c r="P68" s="147" t="s">
        <v>274</v>
      </c>
      <c r="Q68" s="15">
        <f t="shared" si="7"/>
        <v>-4.0000000000012248E-5</v>
      </c>
    </row>
    <row r="69" spans="1:17" ht="15.75" thickBot="1" x14ac:dyDescent="0.25">
      <c r="A69" s="147" t="s">
        <v>275</v>
      </c>
      <c r="B69">
        <v>0.20499999999999999</v>
      </c>
      <c r="G69" s="147" t="s">
        <v>275</v>
      </c>
      <c r="H69">
        <v>0.20499000000000001</v>
      </c>
      <c r="P69" s="147" t="s">
        <v>275</v>
      </c>
      <c r="Q69" s="15">
        <f t="shared" si="7"/>
        <v>9.9999999999822453E-6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0.24690000000000001</v>
      </c>
      <c r="P70" s="147" t="s">
        <v>276</v>
      </c>
      <c r="Q70" s="15">
        <f t="shared" si="7"/>
        <v>-1.0000000000010001E-5</v>
      </c>
    </row>
    <row r="71" spans="1:17" ht="15.75" thickBot="1" x14ac:dyDescent="0.25">
      <c r="A71" s="147" t="s">
        <v>277</v>
      </c>
      <c r="B71">
        <v>0.26761000000000001</v>
      </c>
      <c r="G71" s="147" t="s">
        <v>277</v>
      </c>
      <c r="H71">
        <v>0.26758999999999999</v>
      </c>
      <c r="P71" s="147" t="s">
        <v>277</v>
      </c>
      <c r="Q71" s="15">
        <f t="shared" si="7"/>
        <v>2.0000000000020002E-5</v>
      </c>
    </row>
    <row r="72" spans="1:17" ht="15.75" thickBot="1" x14ac:dyDescent="0.25">
      <c r="A72" s="147" t="s">
        <v>439</v>
      </c>
      <c r="B72">
        <v>0.33311000000000002</v>
      </c>
      <c r="G72" s="147" t="s">
        <v>439</v>
      </c>
      <c r="H72">
        <v>0.33306000000000002</v>
      </c>
      <c r="P72" s="147" t="s">
        <v>439</v>
      </c>
      <c r="Q72" s="15">
        <f t="shared" si="7"/>
        <v>4.9999999999994493E-5</v>
      </c>
    </row>
    <row r="73" spans="1:17" ht="15.75" thickBot="1" x14ac:dyDescent="0.25">
      <c r="A73" s="147" t="s">
        <v>279</v>
      </c>
      <c r="B73">
        <v>0.26382</v>
      </c>
      <c r="G73" s="147" t="s">
        <v>279</v>
      </c>
      <c r="H73">
        <v>0.26384000000000002</v>
      </c>
      <c r="P73" s="147" t="s">
        <v>279</v>
      </c>
      <c r="Q73" s="15">
        <f t="shared" si="7"/>
        <v>-2.0000000000020002E-5</v>
      </c>
    </row>
    <row r="74" spans="1:17" ht="15.75" thickBot="1" x14ac:dyDescent="0.25">
      <c r="A74" s="147" t="s">
        <v>280</v>
      </c>
      <c r="B74">
        <v>0.12584000000000001</v>
      </c>
      <c r="G74" s="147" t="s">
        <v>280</v>
      </c>
      <c r="H74">
        <v>0.12581000000000001</v>
      </c>
      <c r="P74" s="147" t="s">
        <v>280</v>
      </c>
      <c r="Q74" s="15">
        <f t="shared" si="7"/>
        <v>3.0000000000002247E-5</v>
      </c>
    </row>
    <row r="75" spans="1:17" ht="15.75" thickBot="1" x14ac:dyDescent="0.25">
      <c r="A75" s="148" t="s">
        <v>282</v>
      </c>
      <c r="B75">
        <v>0.12975999999999999</v>
      </c>
      <c r="G75" s="148" t="s">
        <v>282</v>
      </c>
      <c r="H75">
        <v>0.12978000000000001</v>
      </c>
      <c r="P75" s="148" t="s">
        <v>282</v>
      </c>
      <c r="Q75" s="15">
        <f t="shared" si="7"/>
        <v>-2.0000000000020002E-5</v>
      </c>
    </row>
    <row r="76" spans="1:17" ht="15.75" thickBot="1" x14ac:dyDescent="0.25">
      <c r="A76" s="148" t="s">
        <v>283</v>
      </c>
      <c r="B76">
        <v>0.22842999999999999</v>
      </c>
      <c r="G76" s="148" t="s">
        <v>283</v>
      </c>
      <c r="H76">
        <v>0.22846</v>
      </c>
      <c r="P76" s="148" t="s">
        <v>283</v>
      </c>
      <c r="Q76" s="15">
        <f t="shared" si="7"/>
        <v>-3.0000000000002247E-5</v>
      </c>
    </row>
    <row r="77" spans="1:17" x14ac:dyDescent="0.2">
      <c r="A77" s="150" t="s">
        <v>23</v>
      </c>
      <c r="B77">
        <v>0.18242</v>
      </c>
      <c r="G77" s="150" t="s">
        <v>23</v>
      </c>
      <c r="H77">
        <v>0.18231</v>
      </c>
      <c r="P77" s="150" t="s">
        <v>23</v>
      </c>
      <c r="Q77" s="15">
        <f t="shared" si="7"/>
        <v>1.0999999999999899E-4</v>
      </c>
    </row>
    <row r="78" spans="1:17" x14ac:dyDescent="0.2">
      <c r="A78" s="150" t="s">
        <v>24</v>
      </c>
      <c r="B78">
        <v>0.15182999999999999</v>
      </c>
      <c r="G78" s="150" t="s">
        <v>24</v>
      </c>
      <c r="H78">
        <v>0.15182999999999999</v>
      </c>
      <c r="P78" s="150" t="s">
        <v>24</v>
      </c>
      <c r="Q78" s="15">
        <f t="shared" si="7"/>
        <v>0</v>
      </c>
    </row>
    <row r="79" spans="1:17" x14ac:dyDescent="0.2">
      <c r="A79" s="150" t="s">
        <v>25</v>
      </c>
      <c r="B79">
        <v>0.15323000000000001</v>
      </c>
      <c r="G79" s="150" t="s">
        <v>25</v>
      </c>
      <c r="H79">
        <v>0.15323999999999999</v>
      </c>
      <c r="P79" s="150" t="s">
        <v>25</v>
      </c>
      <c r="Q79" s="15">
        <f t="shared" si="7"/>
        <v>-9.9999999999822453E-6</v>
      </c>
    </row>
    <row r="80" spans="1:17" x14ac:dyDescent="0.2">
      <c r="A80" s="150" t="s">
        <v>26</v>
      </c>
      <c r="B80">
        <v>0.15715999999999999</v>
      </c>
      <c r="G80" s="150" t="s">
        <v>26</v>
      </c>
      <c r="H80">
        <v>0.15709000000000001</v>
      </c>
      <c r="P80" s="150" t="s">
        <v>26</v>
      </c>
      <c r="Q80" s="15">
        <f t="shared" si="7"/>
        <v>6.9999999999986739E-5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0.14871999999999999</v>
      </c>
      <c r="P81" s="150" t="s">
        <v>27</v>
      </c>
      <c r="Q81" s="15">
        <f t="shared" si="7"/>
        <v>-1.1999999999998123E-4</v>
      </c>
    </row>
    <row r="82" spans="1:17" x14ac:dyDescent="0.2">
      <c r="A82" s="150" t="s">
        <v>28</v>
      </c>
      <c r="B82">
        <v>0.20960999999999999</v>
      </c>
      <c r="G82" s="150" t="s">
        <v>28</v>
      </c>
      <c r="H82">
        <v>0.20959</v>
      </c>
      <c r="P82" s="150" t="s">
        <v>28</v>
      </c>
      <c r="Q82" s="15">
        <f t="shared" si="7"/>
        <v>1.9999999999992246E-5</v>
      </c>
    </row>
  </sheetData>
  <mergeCells count="33">
    <mergeCell ref="H4:H5"/>
    <mergeCell ref="A61:C61"/>
    <mergeCell ref="G61:I61"/>
    <mergeCell ref="J26:J27"/>
    <mergeCell ref="K26:K27"/>
    <mergeCell ref="F4:F5"/>
    <mergeCell ref="M26:M27"/>
    <mergeCell ref="A2:M2"/>
    <mergeCell ref="B30:D30"/>
    <mergeCell ref="H30:J30"/>
    <mergeCell ref="M4:M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4:G5"/>
    <mergeCell ref="A4:A5"/>
    <mergeCell ref="B4:B5"/>
    <mergeCell ref="C4:C5"/>
    <mergeCell ref="D4:D5"/>
    <mergeCell ref="E4:E5"/>
    <mergeCell ref="P61:S61"/>
    <mergeCell ref="P29:S29"/>
    <mergeCell ref="I4:I5"/>
    <mergeCell ref="J4:J5"/>
    <mergeCell ref="K4:K5"/>
    <mergeCell ref="L4:L5"/>
    <mergeCell ref="L26:L27"/>
  </mergeCells>
  <phoneticPr fontId="6" type="noConversion"/>
  <conditionalFormatting sqref="Q32:Q59">
    <cfRule type="cellIs" dxfId="23" priority="11" operator="lessThan">
      <formula>-0.0001</formula>
    </cfRule>
    <cfRule type="cellIs" dxfId="22" priority="12" operator="greaterThan">
      <formula>0.0001</formula>
    </cfRule>
  </conditionalFormatting>
  <conditionalFormatting sqref="R32:R59">
    <cfRule type="cellIs" dxfId="21" priority="9" operator="lessThan">
      <formula>-0.0001</formula>
    </cfRule>
    <cfRule type="cellIs" dxfId="20" priority="10" operator="greaterThan">
      <formula>0.0001</formula>
    </cfRule>
  </conditionalFormatting>
  <conditionalFormatting sqref="S32:S59">
    <cfRule type="cellIs" dxfId="19" priority="7" operator="lessThan">
      <formula>-0.0001</formula>
    </cfRule>
    <cfRule type="cellIs" dxfId="18" priority="8" operator="greaterThan">
      <formula>0.0001</formula>
    </cfRule>
  </conditionalFormatting>
  <conditionalFormatting sqref="Q63:Q81">
    <cfRule type="cellIs" dxfId="17" priority="5" operator="lessThan">
      <formula>-0.0001</formula>
    </cfRule>
    <cfRule type="cellIs" dxfId="16" priority="6" operator="greaterThan">
      <formula>0.0001</formula>
    </cfRule>
  </conditionalFormatting>
  <conditionalFormatting sqref="Q82">
    <cfRule type="cellIs" dxfId="15" priority="3" operator="lessThan">
      <formula>-0.0001</formula>
    </cfRule>
    <cfRule type="cellIs" dxfId="14" priority="4" operator="greaterThan">
      <formula>0.0001</formula>
    </cfRule>
  </conditionalFormatting>
  <conditionalFormatting sqref="T32:T59">
    <cfRule type="cellIs" dxfId="13" priority="1" operator="lessThan">
      <formula>-0.0001</formula>
    </cfRule>
    <cfRule type="cellIs" dxfId="12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4A30-DDA6-4F50-A561-581DB41E0BC5}">
  <dimension ref="A1:T82"/>
  <sheetViews>
    <sheetView tabSelected="1" workbookViewId="0">
      <selection activeCell="B1" sqref="B1"/>
    </sheetView>
  </sheetViews>
  <sheetFormatPr defaultRowHeight="15" x14ac:dyDescent="0.2"/>
  <cols>
    <col min="2" max="2" width="9.88671875" bestFit="1" customWidth="1"/>
    <col min="11" max="11" width="10.77734375" bestFit="1" customWidth="1"/>
  </cols>
  <sheetData>
    <row r="1" spans="1:13" x14ac:dyDescent="0.2">
      <c r="A1" s="138" t="s">
        <v>444</v>
      </c>
      <c r="B1" s="22">
        <v>44476</v>
      </c>
    </row>
    <row r="2" spans="1:13" ht="17.25" x14ac:dyDescent="0.2">
      <c r="A2" s="163" t="s">
        <v>432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</row>
    <row r="3" spans="1:13" ht="15.75" thickBot="1" x14ac:dyDescent="0.25"/>
    <row r="4" spans="1:13" x14ac:dyDescent="0.2">
      <c r="A4" s="157" t="s">
        <v>135</v>
      </c>
      <c r="B4" s="157" t="s">
        <v>197</v>
      </c>
      <c r="C4" s="157" t="s">
        <v>198</v>
      </c>
      <c r="D4" s="157" t="s">
        <v>199</v>
      </c>
      <c r="E4" s="157" t="s">
        <v>200</v>
      </c>
      <c r="F4" s="157" t="s">
        <v>201</v>
      </c>
      <c r="G4" s="157" t="s">
        <v>202</v>
      </c>
      <c r="H4" s="157" t="s">
        <v>203</v>
      </c>
      <c r="I4" s="157" t="s">
        <v>204</v>
      </c>
      <c r="J4" s="168" t="s">
        <v>205</v>
      </c>
      <c r="K4" s="159" t="s">
        <v>206</v>
      </c>
      <c r="L4" s="157" t="s">
        <v>207</v>
      </c>
      <c r="M4" s="157" t="s">
        <v>208</v>
      </c>
    </row>
    <row r="5" spans="1:13" ht="15.75" thickBot="1" x14ac:dyDescent="0.25">
      <c r="A5" s="158"/>
      <c r="B5" s="158"/>
      <c r="C5" s="158"/>
      <c r="D5" s="158"/>
      <c r="E5" s="158"/>
      <c r="F5" s="158"/>
      <c r="G5" s="158"/>
      <c r="H5" s="158"/>
      <c r="I5" s="158"/>
      <c r="J5" s="168"/>
      <c r="K5" s="160"/>
      <c r="L5" s="158"/>
      <c r="M5" s="158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8">
        <v>9.0859999999999996E-2</v>
      </c>
      <c r="K6" s="149">
        <v>9.085E-2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8">
        <v>0.16400000000000001</v>
      </c>
      <c r="K7" s="149">
        <v>0.16402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8">
        <v>0.14605000000000001</v>
      </c>
      <c r="K8" s="149">
        <v>0.14609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8">
        <v>0.21314</v>
      </c>
      <c r="K9" s="149">
        <v>0.21310000000000001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8">
        <v>0.18607000000000001</v>
      </c>
      <c r="K10" s="149">
        <v>0.18606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8">
        <v>0.19972999999999999</v>
      </c>
      <c r="K11" s="149">
        <v>0.19969999999999999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8">
        <v>0.20499000000000001</v>
      </c>
      <c r="K12" s="149">
        <v>0.20499999999999999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8">
        <v>0.24687999999999999</v>
      </c>
      <c r="K13" s="149">
        <v>0.24690000000000001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8">
        <v>0.26762000000000002</v>
      </c>
      <c r="K14" s="149">
        <v>0.26762000000000002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8">
        <v>0.33306000000000002</v>
      </c>
      <c r="K15" s="149">
        <v>0.33306000000000002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8">
        <v>0.26384000000000002</v>
      </c>
      <c r="K16" s="149">
        <v>0.26384000000000002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8">
        <v>0.12583</v>
      </c>
      <c r="K17" s="149">
        <v>0.12583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8">
        <v>0.12977</v>
      </c>
      <c r="K18" s="149">
        <v>0.12975999999999999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8">
        <v>0.22844999999999999</v>
      </c>
      <c r="K19" s="149">
        <v>0.22850000000000001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8">
        <v>0.18239</v>
      </c>
      <c r="K20" s="149">
        <v>0.18239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8">
        <v>0.15182999999999999</v>
      </c>
      <c r="K21" s="149">
        <v>0.15182000000000001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8">
        <v>0.15323999999999999</v>
      </c>
      <c r="K22" s="149">
        <v>0.15329000000000001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8">
        <v>0.15709999999999999</v>
      </c>
      <c r="K23" s="149">
        <v>0.15712000000000001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8">
        <v>0.14865999999999999</v>
      </c>
      <c r="K24" s="149">
        <v>0.14862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8">
        <v>0.20962</v>
      </c>
      <c r="K25" s="149">
        <v>0.20965</v>
      </c>
      <c r="L25" s="148">
        <v>0.20968999999999999</v>
      </c>
      <c r="M25" s="148">
        <v>0.20973</v>
      </c>
    </row>
    <row r="26" spans="1:20" ht="15" customHeight="1" x14ac:dyDescent="0.2">
      <c r="A26" s="166" t="s">
        <v>433</v>
      </c>
      <c r="B26" s="166">
        <v>3.8037899999999998</v>
      </c>
      <c r="C26" s="166">
        <v>3.8038099999999999</v>
      </c>
      <c r="D26" s="166">
        <v>3.8036500000000002</v>
      </c>
      <c r="E26" s="166">
        <v>3.8034500000000002</v>
      </c>
      <c r="F26" s="166">
        <v>3.8030599999999999</v>
      </c>
      <c r="G26" s="166">
        <v>3.8030400000000002</v>
      </c>
      <c r="H26" s="166">
        <v>3.8029299999999999</v>
      </c>
      <c r="I26" s="166">
        <v>3.80288</v>
      </c>
      <c r="J26" s="166">
        <v>3.8031299999999999</v>
      </c>
      <c r="K26" s="169">
        <v>3.80322</v>
      </c>
      <c r="L26" s="166">
        <v>3.80348</v>
      </c>
      <c r="M26" s="166">
        <v>3.8036500000000002</v>
      </c>
    </row>
    <row r="27" spans="1:20" ht="15.75" customHeight="1" thickBot="1" x14ac:dyDescent="0.25">
      <c r="A27" s="167"/>
      <c r="B27" s="167"/>
      <c r="C27" s="167"/>
      <c r="D27" s="167"/>
      <c r="E27" s="167"/>
      <c r="F27" s="167"/>
      <c r="G27" s="167"/>
      <c r="H27" s="167"/>
      <c r="I27" s="167"/>
      <c r="J27" s="167"/>
      <c r="K27" s="170"/>
      <c r="L27" s="167"/>
      <c r="M27" s="167"/>
    </row>
    <row r="28" spans="1:20" ht="15.75" x14ac:dyDescent="0.25">
      <c r="J28" s="151" t="s">
        <v>446</v>
      </c>
      <c r="K28" s="15" cm="1">
        <f t="array" ref="K28:K29">K26-'26296_79918 (1)'!K26:K27</f>
        <v>-2.0000000000131024E-5</v>
      </c>
    </row>
    <row r="29" spans="1:20" x14ac:dyDescent="0.2">
      <c r="K29">
        <v>3.80322</v>
      </c>
      <c r="P29" s="156" t="s">
        <v>445</v>
      </c>
      <c r="Q29" s="156"/>
      <c r="R29" s="156"/>
      <c r="S29" s="156"/>
    </row>
    <row r="30" spans="1:20" ht="34.5" customHeight="1" x14ac:dyDescent="0.2">
      <c r="B30" s="157" t="s">
        <v>434</v>
      </c>
      <c r="C30" s="157"/>
      <c r="D30" s="157"/>
      <c r="E30" s="154"/>
      <c r="H30" s="157" t="s">
        <v>438</v>
      </c>
      <c r="I30" s="157"/>
      <c r="J30" s="157"/>
      <c r="K30" s="154"/>
      <c r="S30">
        <v>26296</v>
      </c>
      <c r="T30">
        <v>79918</v>
      </c>
    </row>
    <row r="31" spans="1:20" ht="15.75" x14ac:dyDescent="0.25">
      <c r="B31" s="153" t="s">
        <v>435</v>
      </c>
      <c r="C31" s="153" t="s">
        <v>436</v>
      </c>
      <c r="D31" s="153" t="s">
        <v>437</v>
      </c>
      <c r="E31" s="153" t="s">
        <v>442</v>
      </c>
      <c r="F31" s="153"/>
      <c r="G31" s="153"/>
      <c r="H31" s="153" t="s">
        <v>435</v>
      </c>
      <c r="I31" s="153" t="s">
        <v>436</v>
      </c>
      <c r="J31" s="153" t="s">
        <v>437</v>
      </c>
      <c r="K31" s="153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9.0840000000000004E-2</v>
      </c>
      <c r="I32">
        <v>9.0840000000000004E-2</v>
      </c>
      <c r="J32">
        <v>1.4E-5</v>
      </c>
      <c r="P32" s="147" t="s">
        <v>270</v>
      </c>
      <c r="Q32" s="15">
        <f t="shared" ref="Q32:R59" si="0">B32-H32</f>
        <v>-6.0000000000004494E-5</v>
      </c>
      <c r="R32" s="15">
        <f t="shared" si="0"/>
        <v>-6.0000000000004494E-5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0.16408</v>
      </c>
      <c r="C33">
        <v>0.16408</v>
      </c>
      <c r="D33">
        <v>2.1999999999999999E-5</v>
      </c>
      <c r="G33" s="147" t="s">
        <v>271</v>
      </c>
      <c r="H33">
        <v>0.16403000000000001</v>
      </c>
      <c r="I33">
        <v>0.16403000000000001</v>
      </c>
      <c r="J33">
        <v>1.4E-5</v>
      </c>
      <c r="P33" s="147" t="s">
        <v>271</v>
      </c>
      <c r="Q33" s="15">
        <f t="shared" si="0"/>
        <v>4.9999999999994493E-5</v>
      </c>
      <c r="R33" s="15">
        <f t="shared" si="0"/>
        <v>4.9999999999994493E-5</v>
      </c>
      <c r="S33" s="15">
        <f t="shared" ref="S33:S45" si="1">C33-B64</f>
        <v>0</v>
      </c>
      <c r="T33" s="15">
        <f t="shared" ref="T33:T45" si="2">I33-H64</f>
        <v>0</v>
      </c>
    </row>
    <row r="34" spans="1:20" ht="15.75" thickBot="1" x14ac:dyDescent="0.25">
      <c r="A34" s="147" t="s">
        <v>272</v>
      </c>
      <c r="B34">
        <v>0.14615</v>
      </c>
      <c r="C34">
        <v>0.14615</v>
      </c>
      <c r="D34">
        <v>2.1999999999999999E-5</v>
      </c>
      <c r="G34" s="147" t="s">
        <v>272</v>
      </c>
      <c r="H34">
        <v>0.14602999999999999</v>
      </c>
      <c r="I34">
        <v>0.14602999999999999</v>
      </c>
      <c r="J34">
        <v>1.4E-5</v>
      </c>
      <c r="P34" s="147" t="s">
        <v>272</v>
      </c>
      <c r="Q34" s="15">
        <f t="shared" si="0"/>
        <v>1.2000000000000899E-4</v>
      </c>
      <c r="R34" s="15">
        <f t="shared" si="0"/>
        <v>1.2000000000000899E-4</v>
      </c>
      <c r="S34" s="15">
        <f t="shared" si="1"/>
        <v>0</v>
      </c>
      <c r="T34" s="15">
        <f t="shared" si="2"/>
        <v>0</v>
      </c>
    </row>
    <row r="35" spans="1:20" ht="15.75" thickBot="1" x14ac:dyDescent="0.25">
      <c r="A35" s="147" t="s">
        <v>273</v>
      </c>
      <c r="B35">
        <v>0.21299999999999999</v>
      </c>
      <c r="C35">
        <v>0.21299999999999999</v>
      </c>
      <c r="D35">
        <v>1.4E-5</v>
      </c>
      <c r="G35" s="147" t="s">
        <v>273</v>
      </c>
      <c r="H35">
        <v>0.21318000000000001</v>
      </c>
      <c r="I35">
        <v>0.21318000000000001</v>
      </c>
      <c r="J35">
        <v>1.4E-5</v>
      </c>
      <c r="P35" s="147" t="s">
        <v>273</v>
      </c>
      <c r="Q35" s="15">
        <f t="shared" si="0"/>
        <v>-1.8000000000001348E-4</v>
      </c>
      <c r="R35" s="15">
        <f t="shared" si="0"/>
        <v>-1.8000000000001348E-4</v>
      </c>
      <c r="S35" s="15">
        <f t="shared" si="1"/>
        <v>0</v>
      </c>
      <c r="T35" s="15">
        <f t="shared" si="2"/>
        <v>0</v>
      </c>
    </row>
    <row r="36" spans="1:20" ht="15.75" thickBot="1" x14ac:dyDescent="0.25">
      <c r="A36" s="147" t="s">
        <v>281</v>
      </c>
      <c r="B36">
        <v>0.18607000000000001</v>
      </c>
      <c r="C36">
        <v>0.18607000000000001</v>
      </c>
      <c r="D36">
        <v>1.4E-5</v>
      </c>
      <c r="G36" s="147" t="s">
        <v>281</v>
      </c>
      <c r="H36">
        <v>0.18604999999999999</v>
      </c>
      <c r="I36">
        <v>0.18604999999999999</v>
      </c>
      <c r="J36">
        <v>1.4E-5</v>
      </c>
      <c r="P36" s="147" t="s">
        <v>281</v>
      </c>
      <c r="Q36" s="15">
        <f t="shared" si="0"/>
        <v>2.0000000000020002E-5</v>
      </c>
      <c r="R36" s="15">
        <f t="shared" si="0"/>
        <v>2.0000000000020002E-5</v>
      </c>
      <c r="S36" s="15">
        <f t="shared" si="1"/>
        <v>0</v>
      </c>
      <c r="T36" s="15">
        <f t="shared" si="2"/>
        <v>0</v>
      </c>
    </row>
    <row r="37" spans="1:20" ht="17.25" customHeight="1" thickBot="1" x14ac:dyDescent="0.25">
      <c r="A37" s="147" t="s">
        <v>274</v>
      </c>
      <c r="B37">
        <v>0.19977</v>
      </c>
      <c r="C37">
        <v>0.19977</v>
      </c>
      <c r="D37">
        <v>1.4E-5</v>
      </c>
      <c r="G37" s="147" t="s">
        <v>274</v>
      </c>
      <c r="H37">
        <v>0.19972999999999999</v>
      </c>
      <c r="I37">
        <v>0.19972999999999999</v>
      </c>
      <c r="J37">
        <v>2.1999999999999999E-5</v>
      </c>
      <c r="P37" s="147" t="s">
        <v>274</v>
      </c>
      <c r="Q37" s="15">
        <f t="shared" si="0"/>
        <v>4.0000000000012248E-5</v>
      </c>
      <c r="R37" s="15">
        <f t="shared" si="0"/>
        <v>4.0000000000012248E-5</v>
      </c>
      <c r="S37" s="15">
        <f t="shared" si="1"/>
        <v>0</v>
      </c>
      <c r="T37" s="15">
        <f t="shared" si="2"/>
        <v>0</v>
      </c>
    </row>
    <row r="38" spans="1:20" ht="15.75" thickBot="1" x14ac:dyDescent="0.25">
      <c r="A38" s="147" t="s">
        <v>275</v>
      </c>
      <c r="B38">
        <v>0.20494999999999999</v>
      </c>
      <c r="C38">
        <v>0.20494999999999999</v>
      </c>
      <c r="D38">
        <v>1.4E-5</v>
      </c>
      <c r="G38" s="147" t="s">
        <v>275</v>
      </c>
      <c r="H38">
        <v>0.20501</v>
      </c>
      <c r="I38">
        <v>0.20501</v>
      </c>
      <c r="J38">
        <v>2.1999999999999999E-5</v>
      </c>
      <c r="P38" s="147" t="s">
        <v>275</v>
      </c>
      <c r="Q38" s="15">
        <f t="shared" si="0"/>
        <v>-6.0000000000004494E-5</v>
      </c>
      <c r="R38" s="15">
        <f t="shared" si="0"/>
        <v>-6.0000000000004494E-5</v>
      </c>
      <c r="S38" s="15">
        <f t="shared" si="1"/>
        <v>-2.0000000000020002E-5</v>
      </c>
      <c r="T38" s="15">
        <f t="shared" si="2"/>
        <v>0</v>
      </c>
    </row>
    <row r="39" spans="1:20" ht="15.75" thickBot="1" x14ac:dyDescent="0.25">
      <c r="A39" s="147" t="s">
        <v>276</v>
      </c>
      <c r="B39">
        <v>0.24687000000000001</v>
      </c>
      <c r="C39">
        <v>0.24687000000000001</v>
      </c>
      <c r="D39">
        <v>1.4E-5</v>
      </c>
      <c r="G39" s="147" t="s">
        <v>276</v>
      </c>
      <c r="H39">
        <v>0.24693000000000001</v>
      </c>
      <c r="I39">
        <v>0.24693000000000001</v>
      </c>
      <c r="J39">
        <v>1.4E-5</v>
      </c>
      <c r="P39" s="147" t="s">
        <v>276</v>
      </c>
      <c r="Q39" s="15">
        <f t="shared" si="0"/>
        <v>-6.0000000000004494E-5</v>
      </c>
      <c r="R39" s="15">
        <f t="shared" si="0"/>
        <v>-6.0000000000004494E-5</v>
      </c>
      <c r="S39" s="15">
        <f t="shared" si="1"/>
        <v>-1.9999999999992246E-5</v>
      </c>
      <c r="T39" s="15">
        <f t="shared" si="2"/>
        <v>2.0000000000020002E-5</v>
      </c>
    </row>
    <row r="40" spans="1:20" ht="15.75" thickBot="1" x14ac:dyDescent="0.25">
      <c r="A40" s="147" t="s">
        <v>277</v>
      </c>
      <c r="B40">
        <v>0.26766000000000001</v>
      </c>
      <c r="C40">
        <v>0.26766000000000001</v>
      </c>
      <c r="D40">
        <v>1.4E-5</v>
      </c>
      <c r="G40" s="147" t="s">
        <v>277</v>
      </c>
      <c r="H40">
        <v>0.26758999999999999</v>
      </c>
      <c r="I40">
        <v>0.26758999999999999</v>
      </c>
      <c r="J40">
        <v>1.4E-5</v>
      </c>
      <c r="P40" s="147" t="s">
        <v>277</v>
      </c>
      <c r="Q40" s="15">
        <f t="shared" si="0"/>
        <v>7.0000000000014495E-5</v>
      </c>
      <c r="R40" s="15">
        <f t="shared" si="0"/>
        <v>7.0000000000014495E-5</v>
      </c>
      <c r="S40" s="15">
        <f t="shared" si="1"/>
        <v>3.0000000000030003E-5</v>
      </c>
      <c r="T40" s="15">
        <f t="shared" si="2"/>
        <v>0</v>
      </c>
    </row>
    <row r="41" spans="1:20" ht="15.75" thickBot="1" x14ac:dyDescent="0.25">
      <c r="A41" s="147" t="s">
        <v>439</v>
      </c>
      <c r="B41">
        <v>0.33306999999999998</v>
      </c>
      <c r="C41">
        <v>0.33306999999999998</v>
      </c>
      <c r="D41">
        <v>1.4E-5</v>
      </c>
      <c r="G41" s="147" t="s">
        <v>439</v>
      </c>
      <c r="H41">
        <v>0.33306999999999998</v>
      </c>
      <c r="I41">
        <v>0.33306999999999998</v>
      </c>
      <c r="J41">
        <v>1.4E-5</v>
      </c>
      <c r="P41" s="147" t="s">
        <v>439</v>
      </c>
      <c r="Q41" s="15">
        <f t="shared" si="0"/>
        <v>0</v>
      </c>
      <c r="R41" s="15">
        <f t="shared" si="0"/>
        <v>0</v>
      </c>
      <c r="S41" s="15">
        <f t="shared" si="1"/>
        <v>1.9999999999964491E-5</v>
      </c>
      <c r="T41" s="15">
        <f t="shared" si="2"/>
        <v>0</v>
      </c>
    </row>
    <row r="42" spans="1:20" ht="15.75" thickBot="1" x14ac:dyDescent="0.25">
      <c r="A42" s="147" t="s">
        <v>279</v>
      </c>
      <c r="B42">
        <v>0.26384999999999997</v>
      </c>
      <c r="C42">
        <v>0.26384999999999997</v>
      </c>
      <c r="D42">
        <v>1.4E-5</v>
      </c>
      <c r="G42" s="147" t="s">
        <v>279</v>
      </c>
      <c r="H42">
        <v>0.26385999999999998</v>
      </c>
      <c r="I42">
        <v>0.26385999999999998</v>
      </c>
      <c r="J42">
        <v>1.4E-5</v>
      </c>
      <c r="P42" s="147" t="s">
        <v>279</v>
      </c>
      <c r="Q42" s="15">
        <f t="shared" si="0"/>
        <v>-1.0000000000010001E-5</v>
      </c>
      <c r="R42" s="15">
        <f t="shared" si="0"/>
        <v>-1.0000000000010001E-5</v>
      </c>
      <c r="S42" s="15">
        <f t="shared" si="1"/>
        <v>-1.0000000000010001E-5</v>
      </c>
      <c r="T42" s="15">
        <f t="shared" si="2"/>
        <v>1.0000000000010001E-5</v>
      </c>
    </row>
    <row r="43" spans="1:20" ht="15.75" thickBot="1" x14ac:dyDescent="0.25">
      <c r="A43" s="147" t="s">
        <v>280</v>
      </c>
      <c r="B43">
        <v>0.12584000000000001</v>
      </c>
      <c r="C43">
        <v>0.12584000000000001</v>
      </c>
      <c r="D43">
        <v>1.4E-5</v>
      </c>
      <c r="G43" s="147" t="s">
        <v>280</v>
      </c>
      <c r="H43">
        <v>0.12583</v>
      </c>
      <c r="I43">
        <v>0.12583</v>
      </c>
      <c r="J43">
        <v>1.4E-5</v>
      </c>
      <c r="P43" s="147" t="s">
        <v>280</v>
      </c>
      <c r="Q43" s="15">
        <f t="shared" si="0"/>
        <v>1.0000000000010001E-5</v>
      </c>
      <c r="R43" s="15">
        <f t="shared" si="0"/>
        <v>1.0000000000010001E-5</v>
      </c>
      <c r="S43" s="15">
        <f t="shared" si="1"/>
        <v>-9.9999999999822453E-6</v>
      </c>
      <c r="T43" s="15">
        <f t="shared" si="2"/>
        <v>-1.0000000000010001E-5</v>
      </c>
    </row>
    <row r="44" spans="1:20" ht="15.75" thickBot="1" x14ac:dyDescent="0.25">
      <c r="A44" s="148" t="s">
        <v>282</v>
      </c>
      <c r="B44">
        <v>0.12977</v>
      </c>
      <c r="C44">
        <v>0.12977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-1.0000000000010001E-5</v>
      </c>
      <c r="R44" s="15">
        <f t="shared" si="0"/>
        <v>-1.0000000000010001E-5</v>
      </c>
      <c r="S44" s="15">
        <f t="shared" si="1"/>
        <v>0</v>
      </c>
      <c r="T44" s="15">
        <f t="shared" si="2"/>
        <v>1.0000000000010001E-5</v>
      </c>
    </row>
    <row r="45" spans="1:20" ht="15.75" thickBot="1" x14ac:dyDescent="0.25">
      <c r="A45" s="148" t="s">
        <v>283</v>
      </c>
      <c r="B45">
        <v>0.22847000000000001</v>
      </c>
      <c r="C45">
        <v>0.22847000000000001</v>
      </c>
      <c r="D45">
        <v>2.1999999999999999E-5</v>
      </c>
      <c r="G45" s="148" t="s">
        <v>283</v>
      </c>
      <c r="H45">
        <v>0.22842000000000001</v>
      </c>
      <c r="I45">
        <v>0.22842000000000001</v>
      </c>
      <c r="J45">
        <v>1.4E-5</v>
      </c>
      <c r="P45" s="148" t="s">
        <v>283</v>
      </c>
      <c r="Q45" s="15">
        <f t="shared" si="0"/>
        <v>4.9999999999994493E-5</v>
      </c>
      <c r="R45" s="15">
        <f t="shared" si="0"/>
        <v>4.9999999999994493E-5</v>
      </c>
      <c r="S45" s="15">
        <f t="shared" si="1"/>
        <v>1.0000000000010001E-5</v>
      </c>
      <c r="T45" s="15">
        <f t="shared" si="2"/>
        <v>-9.9999999999822453E-6</v>
      </c>
    </row>
    <row r="46" spans="1:20" ht="15.75" thickBot="1" x14ac:dyDescent="0.25">
      <c r="A46" s="148" t="s">
        <v>275</v>
      </c>
      <c r="B46">
        <v>0.20499999999999999</v>
      </c>
      <c r="C46">
        <v>0.20499999999999999</v>
      </c>
      <c r="D46">
        <v>1.4E-5</v>
      </c>
      <c r="G46" s="148" t="s">
        <v>275</v>
      </c>
      <c r="H46">
        <v>0.20501</v>
      </c>
      <c r="I46">
        <v>0.20501</v>
      </c>
      <c r="J46">
        <v>1.4E-5</v>
      </c>
      <c r="P46" s="148" t="s">
        <v>275</v>
      </c>
      <c r="Q46" s="15">
        <f t="shared" si="0"/>
        <v>-1.0000000000010001E-5</v>
      </c>
      <c r="R46" s="15">
        <f t="shared" si="0"/>
        <v>-1.0000000000010001E-5</v>
      </c>
      <c r="S46" s="15">
        <f>C38-B69</f>
        <v>-2.0000000000020002E-5</v>
      </c>
      <c r="T46" s="15">
        <f>I46-H69</f>
        <v>0</v>
      </c>
    </row>
    <row r="47" spans="1:20" ht="15.75" thickBot="1" x14ac:dyDescent="0.25">
      <c r="A47" s="148" t="s">
        <v>276</v>
      </c>
      <c r="B47">
        <v>0.24690999999999999</v>
      </c>
      <c r="C47">
        <v>0.24690999999999999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9.9999999999822453E-6</v>
      </c>
      <c r="R47" s="15">
        <f t="shared" si="0"/>
        <v>9.9999999999822453E-6</v>
      </c>
      <c r="S47" s="15">
        <f t="shared" ref="S47:S53" si="3">C39-B70</f>
        <v>-1.9999999999992246E-5</v>
      </c>
      <c r="T47" s="15">
        <f t="shared" ref="T47:T59" si="4">I47-H70</f>
        <v>-9.9999999999822453E-6</v>
      </c>
    </row>
    <row r="48" spans="1:20" ht="15.75" thickBot="1" x14ac:dyDescent="0.25">
      <c r="A48" s="148" t="s">
        <v>277</v>
      </c>
      <c r="B48">
        <v>0.2676</v>
      </c>
      <c r="C48">
        <v>0.2676</v>
      </c>
      <c r="D48">
        <v>1.4E-5</v>
      </c>
      <c r="G48" s="148" t="s">
        <v>277</v>
      </c>
      <c r="H48">
        <v>0.2676</v>
      </c>
      <c r="I48">
        <v>0.2676</v>
      </c>
      <c r="J48">
        <v>2.1999999999999999E-5</v>
      </c>
      <c r="P48" s="148" t="s">
        <v>277</v>
      </c>
      <c r="Q48" s="15">
        <f t="shared" si="0"/>
        <v>0</v>
      </c>
      <c r="R48" s="15">
        <f t="shared" si="0"/>
        <v>0</v>
      </c>
      <c r="S48" s="15">
        <f t="shared" si="3"/>
        <v>3.0000000000030003E-5</v>
      </c>
      <c r="T48" s="15">
        <f t="shared" si="4"/>
        <v>1.0000000000010001E-5</v>
      </c>
    </row>
    <row r="49" spans="1:20" ht="15.75" thickBot="1" x14ac:dyDescent="0.25">
      <c r="A49" s="147" t="s">
        <v>278</v>
      </c>
      <c r="B49">
        <v>0.33302999999999999</v>
      </c>
      <c r="C49">
        <v>0.33302999999999999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2.8E-5</v>
      </c>
      <c r="P49" s="147" t="s">
        <v>278</v>
      </c>
      <c r="Q49" s="15">
        <f t="shared" si="0"/>
        <v>-3.9999999999984492E-5</v>
      </c>
      <c r="R49" s="15">
        <f t="shared" si="0"/>
        <v>-3.9999999999984492E-5</v>
      </c>
      <c r="S49" s="15">
        <f t="shared" si="3"/>
        <v>1.9999999999964491E-5</v>
      </c>
      <c r="T49" s="15">
        <f t="shared" si="4"/>
        <v>0</v>
      </c>
    </row>
    <row r="50" spans="1:20" ht="15.75" thickBot="1" x14ac:dyDescent="0.25">
      <c r="A50" s="148" t="s">
        <v>279</v>
      </c>
      <c r="B50">
        <v>0.26386999999999999</v>
      </c>
      <c r="C50">
        <v>0.26386999999999999</v>
      </c>
      <c r="D50">
        <v>1.4E-5</v>
      </c>
      <c r="G50" s="148" t="s">
        <v>279</v>
      </c>
      <c r="H50">
        <v>0.26380999999999999</v>
      </c>
      <c r="I50">
        <v>0.26380999999999999</v>
      </c>
      <c r="J50">
        <v>2.1999999999999999E-5</v>
      </c>
      <c r="P50" s="148" t="s">
        <v>279</v>
      </c>
      <c r="Q50" s="15">
        <f t="shared" si="0"/>
        <v>6.0000000000004494E-5</v>
      </c>
      <c r="R50" s="15">
        <f t="shared" si="0"/>
        <v>6.0000000000004494E-5</v>
      </c>
      <c r="S50" s="15">
        <f t="shared" si="3"/>
        <v>-1.0000000000010001E-5</v>
      </c>
      <c r="T50" s="15">
        <f t="shared" si="4"/>
        <v>-3.9999999999984492E-5</v>
      </c>
    </row>
    <row r="51" spans="1:20" x14ac:dyDescent="0.2">
      <c r="A51" s="150" t="s">
        <v>280</v>
      </c>
      <c r="B51">
        <v>0.12584999999999999</v>
      </c>
      <c r="C51">
        <v>0.12584999999999999</v>
      </c>
      <c r="D51">
        <v>1.4E-5</v>
      </c>
      <c r="G51" s="150" t="s">
        <v>280</v>
      </c>
      <c r="H51">
        <v>0.12587999999999999</v>
      </c>
      <c r="I51">
        <v>0.12587999999999999</v>
      </c>
      <c r="J51">
        <v>2.1999999999999999E-5</v>
      </c>
      <c r="P51" s="150" t="s">
        <v>280</v>
      </c>
      <c r="Q51" s="15">
        <f t="shared" si="0"/>
        <v>-3.0000000000002247E-5</v>
      </c>
      <c r="R51" s="15">
        <f t="shared" si="0"/>
        <v>-3.0000000000002247E-5</v>
      </c>
      <c r="S51" s="15">
        <f>C43-B74</f>
        <v>-9.9999999999822453E-6</v>
      </c>
      <c r="T51" s="15">
        <f t="shared" si="4"/>
        <v>3.9999999999984492E-5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0.12973999999999999</v>
      </c>
      <c r="I52">
        <v>0.12973999999999999</v>
      </c>
      <c r="J52">
        <v>2.1999999999999999E-5</v>
      </c>
      <c r="P52" s="150" t="s">
        <v>21</v>
      </c>
      <c r="Q52" s="15">
        <f t="shared" si="0"/>
        <v>3.0000000000002247E-5</v>
      </c>
      <c r="R52" s="15">
        <f t="shared" si="0"/>
        <v>3.0000000000002247E-5</v>
      </c>
      <c r="S52" s="15">
        <f t="shared" si="3"/>
        <v>0</v>
      </c>
      <c r="T52" s="15">
        <f t="shared" si="4"/>
        <v>-3.0000000000002247E-5</v>
      </c>
    </row>
    <row r="53" spans="1:20" x14ac:dyDescent="0.2">
      <c r="A53" s="150" t="s">
        <v>22</v>
      </c>
      <c r="B53">
        <v>0.22846</v>
      </c>
      <c r="C53">
        <v>0.22846</v>
      </c>
      <c r="D53">
        <v>1.4E-5</v>
      </c>
      <c r="G53" s="150" t="s">
        <v>22</v>
      </c>
      <c r="H53">
        <v>0.22844</v>
      </c>
      <c r="I53">
        <v>0.22844</v>
      </c>
      <c r="J53">
        <v>1.4E-5</v>
      </c>
      <c r="P53" s="150" t="s">
        <v>22</v>
      </c>
      <c r="Q53" s="15">
        <f t="shared" si="0"/>
        <v>1.9999999999992246E-5</v>
      </c>
      <c r="R53" s="15">
        <f t="shared" si="0"/>
        <v>1.9999999999992246E-5</v>
      </c>
      <c r="S53" s="15">
        <f t="shared" si="3"/>
        <v>1.0000000000010001E-5</v>
      </c>
      <c r="T53" s="15">
        <f t="shared" si="4"/>
        <v>1.0000000000010001E-5</v>
      </c>
    </row>
    <row r="54" spans="1:20" x14ac:dyDescent="0.2">
      <c r="A54" s="150" t="s">
        <v>23</v>
      </c>
      <c r="B54">
        <v>0.18239</v>
      </c>
      <c r="C54">
        <v>0.18239</v>
      </c>
      <c r="D54">
        <v>1.4E-5</v>
      </c>
      <c r="G54" s="150" t="s">
        <v>23</v>
      </c>
      <c r="H54">
        <v>0.18242</v>
      </c>
      <c r="I54">
        <v>0.18242</v>
      </c>
      <c r="J54">
        <v>1.4E-5</v>
      </c>
      <c r="P54" s="150" t="s">
        <v>23</v>
      </c>
      <c r="Q54" s="15">
        <f t="shared" si="0"/>
        <v>-3.0000000000002247E-5</v>
      </c>
      <c r="R54" s="15">
        <f t="shared" si="0"/>
        <v>-3.0000000000002247E-5</v>
      </c>
      <c r="S54" s="15">
        <f>C54-B77</f>
        <v>0</v>
      </c>
      <c r="T54" s="15">
        <f t="shared" si="4"/>
        <v>0</v>
      </c>
    </row>
    <row r="55" spans="1:20" x14ac:dyDescent="0.2">
      <c r="A55" s="150" t="s">
        <v>24</v>
      </c>
      <c r="B55">
        <v>0.15182000000000001</v>
      </c>
      <c r="C55">
        <v>0.15182000000000001</v>
      </c>
      <c r="D55">
        <v>1.4E-5</v>
      </c>
      <c r="G55" s="150" t="s">
        <v>24</v>
      </c>
      <c r="H55">
        <v>0.15182000000000001</v>
      </c>
      <c r="I55">
        <v>0.15182000000000001</v>
      </c>
      <c r="J55">
        <v>1.4E-5</v>
      </c>
      <c r="P55" s="150" t="s">
        <v>24</v>
      </c>
      <c r="Q55" s="15">
        <f t="shared" si="0"/>
        <v>0</v>
      </c>
      <c r="R55" s="15">
        <f t="shared" si="0"/>
        <v>0</v>
      </c>
      <c r="S55" s="15">
        <f t="shared" ref="S55:S59" si="5">C55-B78</f>
        <v>0</v>
      </c>
      <c r="T55" s="15">
        <f t="shared" si="4"/>
        <v>0</v>
      </c>
    </row>
    <row r="56" spans="1:20" x14ac:dyDescent="0.2">
      <c r="A56" s="150" t="s">
        <v>25</v>
      </c>
      <c r="B56">
        <v>0.15323999999999999</v>
      </c>
      <c r="C56">
        <v>0.15323999999999999</v>
      </c>
      <c r="D56">
        <v>1.4E-5</v>
      </c>
      <c r="G56" s="150" t="s">
        <v>25</v>
      </c>
      <c r="H56">
        <v>0.15328</v>
      </c>
      <c r="I56">
        <v>0.15328</v>
      </c>
      <c r="J56">
        <v>2.1999999999999999E-5</v>
      </c>
      <c r="P56" s="150" t="s">
        <v>25</v>
      </c>
      <c r="Q56" s="15">
        <f t="shared" si="0"/>
        <v>-4.0000000000012248E-5</v>
      </c>
      <c r="R56" s="15">
        <f t="shared" si="0"/>
        <v>-4.0000000000012248E-5</v>
      </c>
      <c r="S56" s="15">
        <f t="shared" si="5"/>
        <v>0</v>
      </c>
      <c r="T56" s="15">
        <f t="shared" si="4"/>
        <v>0</v>
      </c>
    </row>
    <row r="57" spans="1:20" x14ac:dyDescent="0.2">
      <c r="A57" s="150" t="s">
        <v>26</v>
      </c>
      <c r="B57">
        <v>0.15712000000000001</v>
      </c>
      <c r="C57">
        <v>0.15712000000000001</v>
      </c>
      <c r="D57">
        <v>2.1999999999999999E-5</v>
      </c>
      <c r="G57" s="150" t="s">
        <v>26</v>
      </c>
      <c r="H57">
        <v>0.15711</v>
      </c>
      <c r="I57">
        <v>0.15711</v>
      </c>
      <c r="J57">
        <v>2.8E-5</v>
      </c>
      <c r="P57" s="150" t="s">
        <v>26</v>
      </c>
      <c r="Q57" s="15">
        <f t="shared" si="0"/>
        <v>1.0000000000010001E-5</v>
      </c>
      <c r="R57" s="15">
        <f t="shared" si="0"/>
        <v>1.0000000000010001E-5</v>
      </c>
      <c r="S57" s="15">
        <f t="shared" si="5"/>
        <v>0</v>
      </c>
      <c r="T57" s="15">
        <f t="shared" si="4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2.8E-5</v>
      </c>
      <c r="G58" s="150" t="s">
        <v>27</v>
      </c>
      <c r="H58">
        <v>0.14860000000000001</v>
      </c>
      <c r="I58">
        <v>0.14860000000000001</v>
      </c>
      <c r="J58">
        <v>2.1999999999999999E-5</v>
      </c>
      <c r="P58" s="150" t="s">
        <v>27</v>
      </c>
      <c r="Q58" s="15">
        <f t="shared" si="0"/>
        <v>0</v>
      </c>
      <c r="R58" s="15">
        <f t="shared" si="0"/>
        <v>0</v>
      </c>
      <c r="S58" s="15">
        <f t="shared" si="5"/>
        <v>0</v>
      </c>
      <c r="T58" s="15">
        <f t="shared" si="4"/>
        <v>0</v>
      </c>
    </row>
    <row r="59" spans="1:20" x14ac:dyDescent="0.2">
      <c r="A59" s="150" t="s">
        <v>28</v>
      </c>
      <c r="B59">
        <v>0.20966000000000001</v>
      </c>
      <c r="C59">
        <v>0.20966000000000001</v>
      </c>
      <c r="D59">
        <v>2.8E-5</v>
      </c>
      <c r="G59" s="150" t="s">
        <v>28</v>
      </c>
      <c r="H59">
        <v>0.20967</v>
      </c>
      <c r="I59">
        <v>0.20967</v>
      </c>
      <c r="J59">
        <v>2.1999999999999999E-5</v>
      </c>
      <c r="P59" s="150" t="s">
        <v>28</v>
      </c>
      <c r="Q59" s="15">
        <f t="shared" si="0"/>
        <v>-9.9999999999822453E-6</v>
      </c>
      <c r="R59" s="15">
        <f t="shared" si="0"/>
        <v>-9.9999999999822453E-6</v>
      </c>
      <c r="S59" s="15">
        <f t="shared" si="5"/>
        <v>0</v>
      </c>
      <c r="T59" s="15">
        <f t="shared" si="4"/>
        <v>0</v>
      </c>
    </row>
    <row r="61" spans="1:20" ht="60" customHeight="1" x14ac:dyDescent="0.2">
      <c r="A61" s="157" t="s">
        <v>434</v>
      </c>
      <c r="B61" s="157"/>
      <c r="C61" s="157"/>
      <c r="G61" s="157" t="s">
        <v>438</v>
      </c>
      <c r="H61" s="157"/>
      <c r="I61" s="157"/>
      <c r="P61" s="156" t="s">
        <v>445</v>
      </c>
      <c r="Q61" s="156"/>
      <c r="R61" s="156"/>
      <c r="S61" s="156"/>
    </row>
    <row r="62" spans="1:20" ht="15.75" x14ac:dyDescent="0.25">
      <c r="B62" s="153" t="s">
        <v>442</v>
      </c>
      <c r="H62" s="153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9.0840000000000004E-2</v>
      </c>
      <c r="P63" s="147" t="s">
        <v>270</v>
      </c>
      <c r="Q63" s="15">
        <f>B63-H63</f>
        <v>-6.0000000000004494E-5</v>
      </c>
    </row>
    <row r="64" spans="1:20" ht="15.75" thickBot="1" x14ac:dyDescent="0.25">
      <c r="A64" s="147" t="s">
        <v>271</v>
      </c>
      <c r="B64">
        <v>0.16408</v>
      </c>
      <c r="G64" s="147" t="s">
        <v>271</v>
      </c>
      <c r="H64">
        <v>0.16403000000000001</v>
      </c>
      <c r="P64" s="147" t="s">
        <v>271</v>
      </c>
      <c r="Q64" s="15">
        <f t="shared" ref="Q64:Q82" si="6">B64-H64</f>
        <v>4.9999999999994493E-5</v>
      </c>
    </row>
    <row r="65" spans="1:17" ht="15.75" thickBot="1" x14ac:dyDescent="0.25">
      <c r="A65" s="147" t="s">
        <v>272</v>
      </c>
      <c r="B65">
        <v>0.14615</v>
      </c>
      <c r="G65" s="147" t="s">
        <v>272</v>
      </c>
      <c r="H65">
        <v>0.14602999999999999</v>
      </c>
      <c r="P65" s="147" t="s">
        <v>272</v>
      </c>
      <c r="Q65" s="15">
        <f t="shared" si="6"/>
        <v>1.2000000000000899E-4</v>
      </c>
    </row>
    <row r="66" spans="1:17" ht="15.75" thickBot="1" x14ac:dyDescent="0.25">
      <c r="A66" s="147" t="s">
        <v>273</v>
      </c>
      <c r="B66">
        <v>0.21299999999999999</v>
      </c>
      <c r="G66" s="147" t="s">
        <v>273</v>
      </c>
      <c r="H66">
        <v>0.21318000000000001</v>
      </c>
      <c r="P66" s="147" t="s">
        <v>273</v>
      </c>
      <c r="Q66" s="15">
        <f t="shared" si="6"/>
        <v>-1.8000000000001348E-4</v>
      </c>
    </row>
    <row r="67" spans="1:17" ht="15.75" thickBot="1" x14ac:dyDescent="0.25">
      <c r="A67" s="147" t="s">
        <v>281</v>
      </c>
      <c r="B67">
        <v>0.18607000000000001</v>
      </c>
      <c r="G67" s="147" t="s">
        <v>281</v>
      </c>
      <c r="H67">
        <v>0.18604999999999999</v>
      </c>
      <c r="P67" s="147" t="s">
        <v>281</v>
      </c>
      <c r="Q67" s="15">
        <f t="shared" si="6"/>
        <v>2.0000000000020002E-5</v>
      </c>
    </row>
    <row r="68" spans="1:17" ht="15.75" thickBot="1" x14ac:dyDescent="0.25">
      <c r="A68" s="147" t="s">
        <v>274</v>
      </c>
      <c r="B68">
        <v>0.19977</v>
      </c>
      <c r="G68" s="147" t="s">
        <v>274</v>
      </c>
      <c r="H68">
        <v>0.19972999999999999</v>
      </c>
      <c r="P68" s="147" t="s">
        <v>274</v>
      </c>
      <c r="Q68" s="15">
        <f t="shared" si="6"/>
        <v>4.0000000000012248E-5</v>
      </c>
    </row>
    <row r="69" spans="1:17" ht="15.75" thickBot="1" x14ac:dyDescent="0.25">
      <c r="A69" s="147" t="s">
        <v>275</v>
      </c>
      <c r="B69">
        <v>0.20497000000000001</v>
      </c>
      <c r="G69" s="147" t="s">
        <v>275</v>
      </c>
      <c r="H69">
        <v>0.20501</v>
      </c>
      <c r="P69" s="147" t="s">
        <v>275</v>
      </c>
      <c r="Q69" s="15">
        <f t="shared" si="6"/>
        <v>-3.9999999999984492E-5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0.24690999999999999</v>
      </c>
      <c r="P70" s="147" t="s">
        <v>276</v>
      </c>
      <c r="Q70" s="15">
        <f t="shared" si="6"/>
        <v>-1.9999999999992246E-5</v>
      </c>
    </row>
    <row r="71" spans="1:17" ht="15.75" thickBot="1" x14ac:dyDescent="0.25">
      <c r="A71" s="147" t="s">
        <v>277</v>
      </c>
      <c r="B71">
        <v>0.26762999999999998</v>
      </c>
      <c r="G71" s="147" t="s">
        <v>277</v>
      </c>
      <c r="H71">
        <v>0.26758999999999999</v>
      </c>
      <c r="P71" s="147" t="s">
        <v>277</v>
      </c>
      <c r="Q71" s="15">
        <f t="shared" si="6"/>
        <v>3.9999999999984492E-5</v>
      </c>
    </row>
    <row r="72" spans="1:17" ht="15.75" thickBot="1" x14ac:dyDescent="0.25">
      <c r="A72" s="147" t="s">
        <v>439</v>
      </c>
      <c r="B72">
        <v>0.33305000000000001</v>
      </c>
      <c r="G72" s="147" t="s">
        <v>439</v>
      </c>
      <c r="H72">
        <v>0.33306999999999998</v>
      </c>
      <c r="P72" s="147" t="s">
        <v>439</v>
      </c>
      <c r="Q72" s="15">
        <f t="shared" si="6"/>
        <v>-1.9999999999964491E-5</v>
      </c>
    </row>
    <row r="73" spans="1:17" ht="15.75" thickBot="1" x14ac:dyDescent="0.25">
      <c r="A73" s="147" t="s">
        <v>279</v>
      </c>
      <c r="B73">
        <v>0.26385999999999998</v>
      </c>
      <c r="G73" s="147" t="s">
        <v>279</v>
      </c>
      <c r="H73">
        <v>0.26384999999999997</v>
      </c>
      <c r="P73" s="147" t="s">
        <v>279</v>
      </c>
      <c r="Q73" s="15">
        <f t="shared" si="6"/>
        <v>1.0000000000010001E-5</v>
      </c>
    </row>
    <row r="74" spans="1:17" ht="15.75" thickBot="1" x14ac:dyDescent="0.25">
      <c r="A74" s="147" t="s">
        <v>280</v>
      </c>
      <c r="B74">
        <v>0.12584999999999999</v>
      </c>
      <c r="G74" s="147" t="s">
        <v>280</v>
      </c>
      <c r="H74">
        <v>0.12584000000000001</v>
      </c>
      <c r="P74" s="147" t="s">
        <v>280</v>
      </c>
      <c r="Q74" s="15">
        <f t="shared" si="6"/>
        <v>9.9999999999822453E-6</v>
      </c>
    </row>
    <row r="75" spans="1:17" ht="15.75" thickBot="1" x14ac:dyDescent="0.25">
      <c r="A75" s="148" t="s">
        <v>282</v>
      </c>
      <c r="B75">
        <v>0.12977</v>
      </c>
      <c r="G75" s="148" t="s">
        <v>282</v>
      </c>
      <c r="H75">
        <v>0.12977</v>
      </c>
      <c r="P75" s="148" t="s">
        <v>282</v>
      </c>
      <c r="Q75" s="15">
        <f t="shared" si="6"/>
        <v>0</v>
      </c>
    </row>
    <row r="76" spans="1:17" ht="15.75" thickBot="1" x14ac:dyDescent="0.25">
      <c r="A76" s="148" t="s">
        <v>283</v>
      </c>
      <c r="B76">
        <v>0.22846</v>
      </c>
      <c r="G76" s="148" t="s">
        <v>283</v>
      </c>
      <c r="H76">
        <v>0.22842999999999999</v>
      </c>
      <c r="P76" s="148" t="s">
        <v>283</v>
      </c>
      <c r="Q76" s="15">
        <f t="shared" si="6"/>
        <v>3.0000000000002247E-5</v>
      </c>
    </row>
    <row r="77" spans="1:17" x14ac:dyDescent="0.2">
      <c r="A77" s="150" t="s">
        <v>23</v>
      </c>
      <c r="B77">
        <v>0.18239</v>
      </c>
      <c r="G77" s="150" t="s">
        <v>23</v>
      </c>
      <c r="H77">
        <v>0.18242</v>
      </c>
      <c r="P77" s="150" t="s">
        <v>23</v>
      </c>
      <c r="Q77" s="15">
        <f t="shared" si="6"/>
        <v>-3.0000000000002247E-5</v>
      </c>
    </row>
    <row r="78" spans="1:17" x14ac:dyDescent="0.2">
      <c r="A78" s="150" t="s">
        <v>24</v>
      </c>
      <c r="B78">
        <v>0.15182000000000001</v>
      </c>
      <c r="G78" s="150" t="s">
        <v>24</v>
      </c>
      <c r="H78">
        <v>0.15182000000000001</v>
      </c>
      <c r="P78" s="150" t="s">
        <v>24</v>
      </c>
      <c r="Q78" s="15">
        <f t="shared" si="6"/>
        <v>0</v>
      </c>
    </row>
    <row r="79" spans="1:17" x14ac:dyDescent="0.2">
      <c r="A79" s="150" t="s">
        <v>25</v>
      </c>
      <c r="B79">
        <v>0.15323999999999999</v>
      </c>
      <c r="G79" s="150" t="s">
        <v>25</v>
      </c>
      <c r="H79">
        <v>0.15328</v>
      </c>
      <c r="P79" s="150" t="s">
        <v>25</v>
      </c>
      <c r="Q79" s="15">
        <f t="shared" si="6"/>
        <v>-4.0000000000012248E-5</v>
      </c>
    </row>
    <row r="80" spans="1:17" x14ac:dyDescent="0.2">
      <c r="A80" s="150" t="s">
        <v>26</v>
      </c>
      <c r="B80">
        <v>0.15712000000000001</v>
      </c>
      <c r="G80" s="150" t="s">
        <v>26</v>
      </c>
      <c r="H80">
        <v>0.15711</v>
      </c>
      <c r="P80" s="150" t="s">
        <v>26</v>
      </c>
      <c r="Q80" s="15">
        <f t="shared" si="6"/>
        <v>1.0000000000010001E-5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0.14860000000000001</v>
      </c>
      <c r="P81" s="150" t="s">
        <v>27</v>
      </c>
      <c r="Q81" s="15">
        <f t="shared" si="6"/>
        <v>0</v>
      </c>
    </row>
    <row r="82" spans="1:17" x14ac:dyDescent="0.2">
      <c r="A82" s="150" t="s">
        <v>28</v>
      </c>
      <c r="B82">
        <v>0.20966000000000001</v>
      </c>
      <c r="G82" s="150" t="s">
        <v>28</v>
      </c>
      <c r="H82">
        <v>0.20967</v>
      </c>
      <c r="P82" s="150" t="s">
        <v>28</v>
      </c>
      <c r="Q82" s="15">
        <f t="shared" si="6"/>
        <v>-9.9999999999822453E-6</v>
      </c>
    </row>
  </sheetData>
  <mergeCells count="33">
    <mergeCell ref="M26:M27"/>
    <mergeCell ref="P29:S29"/>
    <mergeCell ref="B30:D30"/>
    <mergeCell ref="H30:J30"/>
    <mergeCell ref="A61:C61"/>
    <mergeCell ref="G61:I61"/>
    <mergeCell ref="P61:S61"/>
    <mergeCell ref="G26:G27"/>
    <mergeCell ref="H26:H27"/>
    <mergeCell ref="I26:I27"/>
    <mergeCell ref="J26:J27"/>
    <mergeCell ref="K26:K27"/>
    <mergeCell ref="L26:L27"/>
    <mergeCell ref="J4:J5"/>
    <mergeCell ref="K4:K5"/>
    <mergeCell ref="L4:L5"/>
    <mergeCell ref="M4:M5"/>
    <mergeCell ref="A26:A27"/>
    <mergeCell ref="B26:B27"/>
    <mergeCell ref="C26:C27"/>
    <mergeCell ref="D26:D27"/>
    <mergeCell ref="E26:E27"/>
    <mergeCell ref="F26:F27"/>
    <mergeCell ref="A2:M2"/>
    <mergeCell ref="A4:A5"/>
    <mergeCell ref="B4:B5"/>
    <mergeCell ref="C4:C5"/>
    <mergeCell ref="D4:D5"/>
    <mergeCell ref="E4:E5"/>
    <mergeCell ref="F4:F5"/>
    <mergeCell ref="G4:G5"/>
    <mergeCell ref="H4:H5"/>
    <mergeCell ref="I4:I5"/>
  </mergeCells>
  <conditionalFormatting sqref="Q32:Q59">
    <cfRule type="cellIs" dxfId="11" priority="11" operator="lessThan">
      <formula>-0.0001</formula>
    </cfRule>
    <cfRule type="cellIs" dxfId="10" priority="12" operator="greaterThan">
      <formula>0.0001</formula>
    </cfRule>
  </conditionalFormatting>
  <conditionalFormatting sqref="R32:R59">
    <cfRule type="cellIs" dxfId="9" priority="9" operator="lessThan">
      <formula>-0.0001</formula>
    </cfRule>
    <cfRule type="cellIs" dxfId="8" priority="10" operator="greaterThan">
      <formula>0.0001</formula>
    </cfRule>
  </conditionalFormatting>
  <conditionalFormatting sqref="S32:S59">
    <cfRule type="cellIs" dxfId="7" priority="7" operator="lessThan">
      <formula>-0.0001</formula>
    </cfRule>
    <cfRule type="cellIs" dxfId="6" priority="8" operator="greaterThan">
      <formula>0.0001</formula>
    </cfRule>
  </conditionalFormatting>
  <conditionalFormatting sqref="Q63:Q81">
    <cfRule type="cellIs" dxfId="5" priority="5" operator="lessThan">
      <formula>-0.0001</formula>
    </cfRule>
    <cfRule type="cellIs" dxfId="4" priority="6" operator="greaterThan">
      <formula>0.0001</formula>
    </cfRule>
  </conditionalFormatting>
  <conditionalFormatting sqref="Q82">
    <cfRule type="cellIs" dxfId="3" priority="3" operator="lessThan">
      <formula>-0.0001</formula>
    </cfRule>
    <cfRule type="cellIs" dxfId="2" priority="4" operator="greaterThan">
      <formula>0.0001</formula>
    </cfRule>
  </conditionalFormatting>
  <conditionalFormatting sqref="T32:T59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B03C-1872-42A2-9F2C-278FFCB22A16}">
  <dimension ref="A1:T28"/>
  <sheetViews>
    <sheetView workbookViewId="0">
      <selection activeCell="Q1" sqref="Q1:Q20"/>
    </sheetView>
  </sheetViews>
  <sheetFormatPr defaultRowHeight="15" x14ac:dyDescent="0.2"/>
  <sheetData>
    <row r="1" spans="1:20" x14ac:dyDescent="0.2">
      <c r="A1">
        <v>1</v>
      </c>
      <c r="B1" s="138">
        <v>44228</v>
      </c>
      <c r="C1">
        <v>20.100000000000001</v>
      </c>
      <c r="D1">
        <v>7.0449999999999999E-2</v>
      </c>
      <c r="E1">
        <v>0.16128999999999999</v>
      </c>
      <c r="F1">
        <v>9.0840000000000004E-2</v>
      </c>
      <c r="G1">
        <v>9.0840000000000004E-2</v>
      </c>
      <c r="H1">
        <v>1.4E-5</v>
      </c>
      <c r="J1" s="138">
        <v>44228</v>
      </c>
      <c r="K1" s="138">
        <v>9.0840000000000004E-2</v>
      </c>
      <c r="L1">
        <v>0.03</v>
      </c>
      <c r="M1">
        <v>1</v>
      </c>
      <c r="P1" s="138">
        <v>44228</v>
      </c>
      <c r="Q1">
        <v>9.0840000000000004E-2</v>
      </c>
      <c r="R1">
        <v>0.03</v>
      </c>
      <c r="S1">
        <v>1</v>
      </c>
      <c r="T1" s="138"/>
    </row>
    <row r="2" spans="1:20" x14ac:dyDescent="0.2">
      <c r="A2">
        <v>1</v>
      </c>
      <c r="B2" s="138">
        <v>44257</v>
      </c>
      <c r="C2">
        <v>20.100000000000001</v>
      </c>
      <c r="D2">
        <v>0.16128999999999999</v>
      </c>
      <c r="E2">
        <v>0.32532</v>
      </c>
      <c r="F2">
        <v>0.16403000000000001</v>
      </c>
      <c r="G2">
        <v>0.16403000000000001</v>
      </c>
      <c r="H2">
        <v>1.4E-5</v>
      </c>
      <c r="J2" s="138">
        <v>44257</v>
      </c>
      <c r="K2" s="138">
        <v>0.16403000000000001</v>
      </c>
      <c r="L2">
        <v>0.03</v>
      </c>
      <c r="M2">
        <v>1</v>
      </c>
      <c r="P2" s="138">
        <v>44257</v>
      </c>
      <c r="Q2">
        <v>0.16403000000000001</v>
      </c>
      <c r="R2">
        <v>0.03</v>
      </c>
      <c r="S2">
        <v>1</v>
      </c>
      <c r="T2" s="138"/>
    </row>
    <row r="3" spans="1:20" x14ac:dyDescent="0.2">
      <c r="A3">
        <v>1</v>
      </c>
      <c r="B3" s="138">
        <v>44289</v>
      </c>
      <c r="C3">
        <v>20.100000000000001</v>
      </c>
      <c r="D3">
        <v>0.32532</v>
      </c>
      <c r="E3">
        <v>0.47134999999999999</v>
      </c>
      <c r="F3">
        <v>0.14602999999999999</v>
      </c>
      <c r="G3">
        <v>0.14602999999999999</v>
      </c>
      <c r="H3">
        <v>1.4E-5</v>
      </c>
      <c r="J3" s="138">
        <v>44289</v>
      </c>
      <c r="K3" s="138">
        <v>0.14602999999999999</v>
      </c>
      <c r="L3">
        <v>0.03</v>
      </c>
      <c r="M3">
        <v>1</v>
      </c>
      <c r="P3" s="138">
        <v>44289</v>
      </c>
      <c r="Q3">
        <v>0.14602999999999999</v>
      </c>
      <c r="R3">
        <v>0.03</v>
      </c>
      <c r="S3">
        <v>1</v>
      </c>
      <c r="T3" s="138"/>
    </row>
    <row r="4" spans="1:20" x14ac:dyDescent="0.2">
      <c r="A4">
        <v>1</v>
      </c>
      <c r="B4" s="138">
        <v>44320</v>
      </c>
      <c r="C4">
        <v>20.100000000000001</v>
      </c>
      <c r="D4">
        <v>0.47134999999999999</v>
      </c>
      <c r="E4">
        <v>0.68452999999999997</v>
      </c>
      <c r="F4">
        <v>0.21318000000000001</v>
      </c>
      <c r="G4">
        <v>0.21318000000000001</v>
      </c>
      <c r="H4">
        <v>1.4E-5</v>
      </c>
      <c r="J4" s="138">
        <v>44320</v>
      </c>
      <c r="K4" s="138">
        <v>0.21318000000000001</v>
      </c>
      <c r="L4">
        <v>0.03</v>
      </c>
      <c r="M4">
        <v>1</v>
      </c>
      <c r="P4" s="138">
        <v>44320</v>
      </c>
      <c r="Q4">
        <v>0.21318000000000001</v>
      </c>
      <c r="R4">
        <v>0.03</v>
      </c>
      <c r="S4">
        <v>1</v>
      </c>
      <c r="T4" s="138"/>
    </row>
    <row r="5" spans="1:20" x14ac:dyDescent="0.2">
      <c r="A5">
        <v>1</v>
      </c>
      <c r="B5" s="138">
        <v>44352</v>
      </c>
      <c r="C5">
        <v>20.100000000000001</v>
      </c>
      <c r="D5">
        <v>0.68452999999999997</v>
      </c>
      <c r="E5">
        <v>0.87058000000000002</v>
      </c>
      <c r="F5">
        <v>0.18604999999999999</v>
      </c>
      <c r="G5">
        <v>0.18604999999999999</v>
      </c>
      <c r="H5">
        <v>1.4E-5</v>
      </c>
      <c r="J5" s="138">
        <v>44352</v>
      </c>
      <c r="K5" s="138">
        <v>0.18604999999999999</v>
      </c>
      <c r="L5">
        <v>0.03</v>
      </c>
      <c r="M5">
        <v>1</v>
      </c>
      <c r="P5" s="138">
        <v>44352</v>
      </c>
      <c r="Q5">
        <v>0.18604999999999999</v>
      </c>
      <c r="R5">
        <v>0.03</v>
      </c>
      <c r="S5">
        <v>1</v>
      </c>
      <c r="T5" s="138"/>
    </row>
    <row r="6" spans="1:20" x14ac:dyDescent="0.2">
      <c r="A6">
        <v>1</v>
      </c>
      <c r="B6" s="138">
        <v>44383</v>
      </c>
      <c r="C6">
        <v>20.100000000000001</v>
      </c>
      <c r="D6">
        <v>0.87058000000000002</v>
      </c>
      <c r="E6">
        <v>1.0703100000000001</v>
      </c>
      <c r="F6">
        <v>0.19972999999999999</v>
      </c>
      <c r="G6">
        <v>0.19972999999999999</v>
      </c>
      <c r="H6">
        <v>2.1999999999999999E-5</v>
      </c>
      <c r="J6" s="138">
        <v>44383</v>
      </c>
      <c r="K6" s="138">
        <v>0.19972999999999999</v>
      </c>
      <c r="L6">
        <v>0.04</v>
      </c>
      <c r="M6">
        <v>1</v>
      </c>
      <c r="P6" s="138">
        <v>44383</v>
      </c>
      <c r="Q6">
        <v>0.19972999999999999</v>
      </c>
      <c r="R6">
        <v>0.04</v>
      </c>
      <c r="S6">
        <v>1</v>
      </c>
      <c r="T6" s="138"/>
    </row>
    <row r="7" spans="1:20" x14ac:dyDescent="0.2">
      <c r="A7">
        <v>1</v>
      </c>
      <c r="B7" s="138">
        <v>44415</v>
      </c>
      <c r="C7">
        <v>20.100000000000001</v>
      </c>
      <c r="D7">
        <v>1.0703100000000001</v>
      </c>
      <c r="E7">
        <v>1.27532</v>
      </c>
      <c r="F7">
        <v>0.20501</v>
      </c>
      <c r="G7">
        <v>0.20501</v>
      </c>
      <c r="H7">
        <v>2.1999999999999999E-5</v>
      </c>
      <c r="J7" s="138">
        <v>44415</v>
      </c>
      <c r="K7" s="138">
        <v>0.20501</v>
      </c>
      <c r="L7">
        <v>0.02</v>
      </c>
      <c r="M7">
        <v>2</v>
      </c>
      <c r="P7" s="138">
        <v>44415</v>
      </c>
      <c r="Q7">
        <v>0.20501</v>
      </c>
      <c r="R7">
        <v>0.02</v>
      </c>
      <c r="S7">
        <v>2</v>
      </c>
      <c r="T7" s="138"/>
    </row>
    <row r="8" spans="1:20" x14ac:dyDescent="0.2">
      <c r="A8">
        <v>1</v>
      </c>
      <c r="B8" s="138">
        <v>44447</v>
      </c>
      <c r="C8">
        <v>20.100000000000001</v>
      </c>
      <c r="D8">
        <v>1.27532</v>
      </c>
      <c r="E8">
        <v>1.5222500000000001</v>
      </c>
      <c r="F8">
        <v>0.24693000000000001</v>
      </c>
      <c r="G8">
        <v>0.24693000000000001</v>
      </c>
      <c r="H8">
        <v>1.4E-5</v>
      </c>
      <c r="J8" s="138">
        <v>44447</v>
      </c>
      <c r="K8" s="138">
        <v>0.24690999999999999</v>
      </c>
      <c r="L8">
        <v>0.02</v>
      </c>
      <c r="M8">
        <v>2</v>
      </c>
      <c r="P8" s="138">
        <v>44447</v>
      </c>
      <c r="Q8">
        <v>0.24690999999999999</v>
      </c>
      <c r="R8">
        <v>0.02</v>
      </c>
      <c r="S8">
        <v>2</v>
      </c>
      <c r="T8" s="138"/>
    </row>
    <row r="9" spans="1:20" x14ac:dyDescent="0.2">
      <c r="A9">
        <v>1</v>
      </c>
      <c r="B9" s="138">
        <v>44478</v>
      </c>
      <c r="C9">
        <v>20.100000000000001</v>
      </c>
      <c r="D9">
        <v>1.5222500000000001</v>
      </c>
      <c r="E9">
        <v>1.7898400000000001</v>
      </c>
      <c r="F9">
        <v>0.26758999999999999</v>
      </c>
      <c r="G9">
        <v>0.26758999999999999</v>
      </c>
      <c r="H9">
        <v>1.4E-5</v>
      </c>
      <c r="J9" s="138">
        <v>44478</v>
      </c>
      <c r="K9" s="138">
        <v>0.26758999999999999</v>
      </c>
      <c r="L9">
        <v>0.02</v>
      </c>
      <c r="M9">
        <v>2</v>
      </c>
      <c r="P9" s="138">
        <v>44478</v>
      </c>
      <c r="Q9">
        <v>0.26758999999999999</v>
      </c>
      <c r="R9">
        <v>0.02</v>
      </c>
      <c r="S9">
        <v>2</v>
      </c>
      <c r="T9" s="138"/>
    </row>
    <row r="10" spans="1:20" x14ac:dyDescent="0.2">
      <c r="A10">
        <v>1</v>
      </c>
      <c r="B10" s="138">
        <v>44510</v>
      </c>
      <c r="C10">
        <v>20.100000000000001</v>
      </c>
      <c r="D10">
        <v>1.7898400000000001</v>
      </c>
      <c r="E10">
        <v>2.1229100000000001</v>
      </c>
      <c r="F10">
        <v>0.33306999999999998</v>
      </c>
      <c r="G10">
        <v>0.33306999999999998</v>
      </c>
      <c r="H10">
        <v>1.4E-5</v>
      </c>
      <c r="J10" s="138">
        <v>44510</v>
      </c>
      <c r="K10" s="138">
        <v>0.33306999999999998</v>
      </c>
      <c r="L10">
        <v>0.02</v>
      </c>
      <c r="M10">
        <v>2</v>
      </c>
      <c r="P10" s="138">
        <v>44510</v>
      </c>
      <c r="Q10">
        <v>0.33306999999999998</v>
      </c>
      <c r="R10">
        <v>0.02</v>
      </c>
      <c r="S10">
        <v>2</v>
      </c>
      <c r="T10" s="138"/>
    </row>
    <row r="11" spans="1:20" x14ac:dyDescent="0.2">
      <c r="A11">
        <v>1</v>
      </c>
      <c r="B11" s="138">
        <v>44541</v>
      </c>
      <c r="C11">
        <v>20.100000000000001</v>
      </c>
      <c r="D11">
        <v>2.1229100000000001</v>
      </c>
      <c r="E11">
        <v>2.3867699999999998</v>
      </c>
      <c r="F11">
        <v>0.26385999999999998</v>
      </c>
      <c r="G11">
        <v>0.26385999999999998</v>
      </c>
      <c r="H11">
        <v>1.4E-5</v>
      </c>
      <c r="J11" s="138">
        <v>44541</v>
      </c>
      <c r="K11" s="138">
        <v>0.26384999999999997</v>
      </c>
      <c r="L11">
        <v>0.02</v>
      </c>
      <c r="M11">
        <v>2</v>
      </c>
      <c r="P11" s="138">
        <v>44541</v>
      </c>
      <c r="Q11">
        <v>0.26384999999999997</v>
      </c>
      <c r="R11">
        <v>0.02</v>
      </c>
      <c r="S11">
        <v>2</v>
      </c>
      <c r="T11" s="138"/>
    </row>
    <row r="12" spans="1:20" x14ac:dyDescent="0.2">
      <c r="A12">
        <v>1</v>
      </c>
      <c r="B12" s="20">
        <v>41609</v>
      </c>
      <c r="C12">
        <v>20.100000000000001</v>
      </c>
      <c r="D12">
        <v>2.3867699999999998</v>
      </c>
      <c r="E12">
        <v>2.5125999999999999</v>
      </c>
      <c r="F12">
        <v>0.12583</v>
      </c>
      <c r="G12">
        <v>0.12583</v>
      </c>
      <c r="H12">
        <v>1.4E-5</v>
      </c>
      <c r="J12" s="20">
        <v>41609</v>
      </c>
      <c r="K12" s="20">
        <v>0.12584000000000001</v>
      </c>
      <c r="L12">
        <v>0.02</v>
      </c>
      <c r="M12">
        <v>2</v>
      </c>
      <c r="P12" s="20">
        <v>41609</v>
      </c>
      <c r="Q12">
        <v>0.12584000000000001</v>
      </c>
      <c r="R12">
        <v>0.02</v>
      </c>
      <c r="S12">
        <v>2</v>
      </c>
      <c r="T12" s="20"/>
    </row>
    <row r="13" spans="1:20" x14ac:dyDescent="0.2">
      <c r="A13">
        <v>1</v>
      </c>
      <c r="B13" t="s">
        <v>21</v>
      </c>
      <c r="C13">
        <v>20.100000000000001</v>
      </c>
      <c r="D13">
        <v>2.5125999999999999</v>
      </c>
      <c r="E13">
        <v>2.6423800000000002</v>
      </c>
      <c r="F13">
        <v>0.12978000000000001</v>
      </c>
      <c r="G13">
        <v>0.12978000000000001</v>
      </c>
      <c r="H13">
        <v>1.4E-5</v>
      </c>
      <c r="J13" t="s">
        <v>21</v>
      </c>
      <c r="K13">
        <v>0.12977</v>
      </c>
      <c r="L13">
        <v>0.02</v>
      </c>
      <c r="M13">
        <v>2</v>
      </c>
      <c r="P13" t="s">
        <v>21</v>
      </c>
      <c r="Q13">
        <v>0.12977</v>
      </c>
      <c r="R13">
        <v>0.02</v>
      </c>
      <c r="S13">
        <v>2</v>
      </c>
    </row>
    <row r="14" spans="1:20" x14ac:dyDescent="0.2">
      <c r="A14">
        <v>1</v>
      </c>
      <c r="B14" t="s">
        <v>22</v>
      </c>
      <c r="C14">
        <v>20.100000000000001</v>
      </c>
      <c r="D14">
        <v>2.6423800000000002</v>
      </c>
      <c r="E14">
        <v>2.8708</v>
      </c>
      <c r="F14">
        <v>0.22842000000000001</v>
      </c>
      <c r="G14">
        <v>0.22842000000000001</v>
      </c>
      <c r="H14">
        <v>1.4E-5</v>
      </c>
      <c r="J14" t="s">
        <v>22</v>
      </c>
      <c r="K14">
        <v>0.22842999999999999</v>
      </c>
      <c r="L14">
        <v>0.02</v>
      </c>
      <c r="M14">
        <v>2</v>
      </c>
      <c r="P14" t="s">
        <v>22</v>
      </c>
      <c r="Q14">
        <v>0.22842999999999999</v>
      </c>
      <c r="R14">
        <v>0.02</v>
      </c>
      <c r="S14">
        <v>2</v>
      </c>
    </row>
    <row r="15" spans="1:20" x14ac:dyDescent="0.2">
      <c r="A15">
        <v>2</v>
      </c>
      <c r="B15" s="138">
        <v>44415</v>
      </c>
      <c r="C15">
        <v>20.9</v>
      </c>
      <c r="D15">
        <v>7.6329999999999995E-2</v>
      </c>
      <c r="E15">
        <v>0.28133999999999998</v>
      </c>
      <c r="F15">
        <v>0.20501</v>
      </c>
      <c r="G15">
        <v>0.20501</v>
      </c>
      <c r="H15">
        <v>1.4E-5</v>
      </c>
      <c r="J15" t="s">
        <v>23</v>
      </c>
      <c r="K15" s="138">
        <v>0.18242</v>
      </c>
      <c r="L15">
        <v>0.03</v>
      </c>
      <c r="M15">
        <v>1</v>
      </c>
      <c r="P15" t="s">
        <v>23</v>
      </c>
      <c r="Q15">
        <v>0.18242</v>
      </c>
      <c r="R15">
        <v>0.03</v>
      </c>
      <c r="S15">
        <v>1</v>
      </c>
      <c r="T15" s="138"/>
    </row>
    <row r="16" spans="1:20" x14ac:dyDescent="0.2">
      <c r="A16">
        <v>2</v>
      </c>
      <c r="B16" s="138">
        <v>44447</v>
      </c>
      <c r="C16">
        <v>20.9</v>
      </c>
      <c r="D16">
        <v>0.28133999999999998</v>
      </c>
      <c r="E16">
        <v>0.52824000000000004</v>
      </c>
      <c r="F16">
        <v>0.24690000000000001</v>
      </c>
      <c r="G16">
        <v>0.24690000000000001</v>
      </c>
      <c r="H16">
        <v>1.4E-5</v>
      </c>
      <c r="J16" t="s">
        <v>24</v>
      </c>
      <c r="K16" s="138">
        <v>0.15182000000000001</v>
      </c>
      <c r="L16">
        <v>0.03</v>
      </c>
      <c r="M16">
        <v>1</v>
      </c>
      <c r="P16" t="s">
        <v>24</v>
      </c>
      <c r="Q16">
        <v>0.15182000000000001</v>
      </c>
      <c r="R16">
        <v>0.03</v>
      </c>
      <c r="S16">
        <v>1</v>
      </c>
      <c r="T16" s="138"/>
    </row>
    <row r="17" spans="1:20" x14ac:dyDescent="0.2">
      <c r="A17">
        <v>2</v>
      </c>
      <c r="B17" s="138">
        <v>44478</v>
      </c>
      <c r="C17">
        <v>20.9</v>
      </c>
      <c r="D17">
        <v>0.52824000000000004</v>
      </c>
      <c r="E17">
        <v>0.79583999999999999</v>
      </c>
      <c r="F17">
        <v>0.2676</v>
      </c>
      <c r="G17">
        <v>0.2676</v>
      </c>
      <c r="H17">
        <v>2.1999999999999999E-5</v>
      </c>
      <c r="J17" t="s">
        <v>25</v>
      </c>
      <c r="K17" s="138">
        <v>0.15328</v>
      </c>
      <c r="L17">
        <v>0.04</v>
      </c>
      <c r="M17">
        <v>1</v>
      </c>
      <c r="P17" t="s">
        <v>25</v>
      </c>
      <c r="Q17">
        <v>0.15328</v>
      </c>
      <c r="R17">
        <v>0.04</v>
      </c>
      <c r="S17">
        <v>1</v>
      </c>
      <c r="T17" s="138"/>
    </row>
    <row r="18" spans="1:20" x14ac:dyDescent="0.2">
      <c r="A18">
        <v>2</v>
      </c>
      <c r="B18" s="138">
        <v>44510</v>
      </c>
      <c r="C18">
        <v>20.9</v>
      </c>
      <c r="D18">
        <v>0.79583999999999999</v>
      </c>
      <c r="E18">
        <v>1.1289100000000001</v>
      </c>
      <c r="F18">
        <v>0.33306999999999998</v>
      </c>
      <c r="G18">
        <v>0.33306999999999998</v>
      </c>
      <c r="H18">
        <v>2.8E-5</v>
      </c>
      <c r="J18" t="s">
        <v>26</v>
      </c>
      <c r="K18" s="138">
        <v>0.15711</v>
      </c>
      <c r="L18">
        <v>0.05</v>
      </c>
      <c r="M18">
        <v>1</v>
      </c>
      <c r="P18" t="s">
        <v>26</v>
      </c>
      <c r="Q18">
        <v>0.15711</v>
      </c>
      <c r="R18">
        <v>0.05</v>
      </c>
      <c r="S18">
        <v>1</v>
      </c>
      <c r="T18" s="138"/>
    </row>
    <row r="19" spans="1:20" x14ac:dyDescent="0.2">
      <c r="A19">
        <v>2</v>
      </c>
      <c r="B19" s="138">
        <v>44541</v>
      </c>
      <c r="C19">
        <v>20.9</v>
      </c>
      <c r="D19">
        <v>1.1289100000000001</v>
      </c>
      <c r="E19">
        <v>1.39272</v>
      </c>
      <c r="F19">
        <v>0.26380999999999999</v>
      </c>
      <c r="G19">
        <v>0.26380999999999999</v>
      </c>
      <c r="H19">
        <v>2.1999999999999999E-5</v>
      </c>
      <c r="J19" t="s">
        <v>27</v>
      </c>
      <c r="K19" s="138">
        <v>0.14860000000000001</v>
      </c>
      <c r="L19">
        <v>0.04</v>
      </c>
      <c r="M19">
        <v>1</v>
      </c>
      <c r="P19" t="s">
        <v>27</v>
      </c>
      <c r="Q19">
        <v>0.14860000000000001</v>
      </c>
      <c r="R19">
        <v>0.04</v>
      </c>
      <c r="S19">
        <v>1</v>
      </c>
      <c r="T19" s="138"/>
    </row>
    <row r="20" spans="1:20" x14ac:dyDescent="0.2">
      <c r="A20">
        <v>2</v>
      </c>
      <c r="B20" s="20">
        <v>41609</v>
      </c>
      <c r="C20">
        <v>20.9</v>
      </c>
      <c r="D20">
        <v>1.39272</v>
      </c>
      <c r="E20">
        <v>1.5185999999999999</v>
      </c>
      <c r="F20">
        <v>0.12587999999999999</v>
      </c>
      <c r="G20">
        <v>0.12587999999999999</v>
      </c>
      <c r="H20">
        <v>2.1999999999999999E-5</v>
      </c>
      <c r="J20" t="s">
        <v>28</v>
      </c>
      <c r="K20" s="20">
        <v>0.20967</v>
      </c>
      <c r="L20">
        <v>0.04</v>
      </c>
      <c r="M20">
        <v>1</v>
      </c>
      <c r="P20" t="s">
        <v>28</v>
      </c>
      <c r="Q20">
        <v>0.20967</v>
      </c>
      <c r="R20">
        <v>0.04</v>
      </c>
      <c r="S20">
        <v>1</v>
      </c>
      <c r="T20" s="20"/>
    </row>
    <row r="21" spans="1:20" x14ac:dyDescent="0.2">
      <c r="A21">
        <v>2</v>
      </c>
      <c r="B21" t="s">
        <v>21</v>
      </c>
      <c r="C21">
        <v>20.9</v>
      </c>
      <c r="D21">
        <v>1.5185999999999999</v>
      </c>
      <c r="E21">
        <v>1.6483399999999999</v>
      </c>
      <c r="F21">
        <v>0.12973999999999999</v>
      </c>
      <c r="G21">
        <v>0.12973999999999999</v>
      </c>
      <c r="H21">
        <v>2.1999999999999999E-5</v>
      </c>
    </row>
    <row r="22" spans="1:20" x14ac:dyDescent="0.2">
      <c r="A22">
        <v>2</v>
      </c>
      <c r="B22" t="s">
        <v>22</v>
      </c>
      <c r="C22">
        <v>20.9</v>
      </c>
      <c r="D22">
        <v>1.6483399999999999</v>
      </c>
      <c r="E22">
        <v>1.8767799999999999</v>
      </c>
      <c r="F22">
        <v>0.22844</v>
      </c>
      <c r="G22">
        <v>0.22844</v>
      </c>
      <c r="H22">
        <v>1.4E-5</v>
      </c>
    </row>
    <row r="23" spans="1:20" x14ac:dyDescent="0.2">
      <c r="A23">
        <v>2</v>
      </c>
      <c r="B23" t="s">
        <v>23</v>
      </c>
      <c r="C23">
        <v>20.9</v>
      </c>
      <c r="D23">
        <v>1.8767799999999999</v>
      </c>
      <c r="E23">
        <v>2.0592000000000001</v>
      </c>
      <c r="F23">
        <v>0.18242</v>
      </c>
      <c r="G23">
        <v>0.18242</v>
      </c>
      <c r="H23">
        <v>1.4E-5</v>
      </c>
    </row>
    <row r="24" spans="1:20" x14ac:dyDescent="0.2">
      <c r="A24">
        <v>2</v>
      </c>
      <c r="B24" t="s">
        <v>24</v>
      </c>
      <c r="C24">
        <v>20.9</v>
      </c>
      <c r="D24">
        <v>2.0592000000000001</v>
      </c>
      <c r="E24">
        <v>2.21102</v>
      </c>
      <c r="F24">
        <v>0.15182000000000001</v>
      </c>
      <c r="G24">
        <v>0.15182000000000001</v>
      </c>
      <c r="H24">
        <v>1.4E-5</v>
      </c>
    </row>
    <row r="25" spans="1:20" x14ac:dyDescent="0.2">
      <c r="A25">
        <v>2</v>
      </c>
      <c r="B25" t="s">
        <v>25</v>
      </c>
      <c r="C25">
        <v>20.9</v>
      </c>
      <c r="D25">
        <v>2.21102</v>
      </c>
      <c r="E25">
        <v>2.3643000000000001</v>
      </c>
      <c r="F25">
        <v>0.15328</v>
      </c>
      <c r="G25">
        <v>0.15328</v>
      </c>
      <c r="H25">
        <v>2.1999999999999999E-5</v>
      </c>
    </row>
    <row r="26" spans="1:20" x14ac:dyDescent="0.2">
      <c r="A26">
        <v>2</v>
      </c>
      <c r="B26" t="s">
        <v>26</v>
      </c>
      <c r="C26">
        <v>20.9</v>
      </c>
      <c r="D26">
        <v>2.3643000000000001</v>
      </c>
      <c r="E26">
        <v>2.5214099999999999</v>
      </c>
      <c r="F26">
        <v>0.15711</v>
      </c>
      <c r="G26">
        <v>0.15711</v>
      </c>
      <c r="H26">
        <v>2.8E-5</v>
      </c>
    </row>
    <row r="27" spans="1:20" x14ac:dyDescent="0.2">
      <c r="A27">
        <v>2</v>
      </c>
      <c r="B27" t="s">
        <v>27</v>
      </c>
      <c r="C27">
        <v>20.9</v>
      </c>
      <c r="D27">
        <v>2.5214099999999999</v>
      </c>
      <c r="E27">
        <v>2.67001</v>
      </c>
      <c r="F27">
        <v>0.14860000000000001</v>
      </c>
      <c r="G27">
        <v>0.14860000000000001</v>
      </c>
      <c r="H27">
        <v>2.1999999999999999E-5</v>
      </c>
    </row>
    <row r="28" spans="1:20" x14ac:dyDescent="0.2">
      <c r="A28">
        <v>2</v>
      </c>
      <c r="B28" t="s">
        <v>28</v>
      </c>
      <c r="C28">
        <v>20.9</v>
      </c>
      <c r="D28">
        <v>2.67001</v>
      </c>
      <c r="E28">
        <v>2.87968</v>
      </c>
      <c r="F28">
        <v>0.20967</v>
      </c>
      <c r="G28">
        <v>0.20967</v>
      </c>
      <c r="H28">
        <v>2.1999999999999999E-5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5" ma:contentTypeDescription="Create a new document." ma:contentTypeScope="" ma:versionID="2d7ab1fa1a47b7f515ef590e5d72834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e95a0e1b4afd2545eb4e6cffc21b51a2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5C2758-016B-43DA-9F87-7A114C731933}"/>
</file>

<file path=customXml/itemProps2.xml><?xml version="1.0" encoding="utf-8"?>
<ds:datastoreItem xmlns:ds="http://schemas.openxmlformats.org/officeDocument/2006/customXml" ds:itemID="{48F0709C-054E-409E-A6E9-92468556796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27690</vt:lpstr>
      <vt:lpstr>26296</vt:lpstr>
      <vt:lpstr>79918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26296_79918 (1)</vt:lpstr>
      <vt:lpstr>26296_79918 (2)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2021-10-08T02:37:52Z</dcterms:modified>
</cp:coreProperties>
</file>